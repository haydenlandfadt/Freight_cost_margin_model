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de\Downloads\"/>
    </mc:Choice>
  </mc:AlternateContent>
  <xr:revisionPtr revIDLastSave="0" documentId="8_{90CDDEAA-9013-4F3C-98F5-D22624174D5D}" xr6:coauthVersionLast="47" xr6:coauthVersionMax="47" xr10:uidLastSave="{00000000-0000-0000-0000-000000000000}"/>
  <bookViews>
    <workbookView xWindow="-98" yWindow="-98" windowWidth="20715" windowHeight="13155" xr2:uid="{0081C941-959D-4407-ACE5-77A7CF68FC77}"/>
  </bookViews>
  <sheets>
    <sheet name="Model" sheetId="1" r:id="rId1"/>
    <sheet name="Lane_Cost_(SYNTHESIZED)" sheetId="2" r:id="rId2"/>
    <sheet name="Summary(KPI)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2" l="1"/>
  <c r="M2" i="2"/>
  <c r="L3" i="2"/>
  <c r="L4" i="2"/>
  <c r="Q4" i="2" s="1"/>
  <c r="L5" i="2"/>
  <c r="Q5" i="2" s="1"/>
  <c r="L6" i="2"/>
  <c r="L7" i="2"/>
  <c r="L8" i="2"/>
  <c r="Q8" i="2" s="1"/>
  <c r="L9" i="2"/>
  <c r="Q9" i="2" s="1"/>
  <c r="L10" i="2"/>
  <c r="Q10" i="2" s="1"/>
  <c r="L11" i="2"/>
  <c r="L2" i="2"/>
  <c r="Q2" i="2" s="1"/>
  <c r="C16" i="3"/>
  <c r="E16" i="3" s="1"/>
  <c r="D16" i="3"/>
  <c r="B14" i="3"/>
  <c r="B13" i="3"/>
  <c r="Q3" i="2"/>
  <c r="Q6" i="2"/>
  <c r="C15" i="3" s="1"/>
  <c r="Q7" i="2"/>
  <c r="Q11" i="2"/>
  <c r="M3" i="2"/>
  <c r="M4" i="2"/>
  <c r="M5" i="2"/>
  <c r="M6" i="2"/>
  <c r="M7" i="2"/>
  <c r="M8" i="2"/>
  <c r="M9" i="2"/>
  <c r="M10" i="2"/>
  <c r="M11" i="2"/>
  <c r="O3" i="2"/>
  <c r="O4" i="2"/>
  <c r="O5" i="2"/>
  <c r="O6" i="2"/>
  <c r="O7" i="2"/>
  <c r="O8" i="2"/>
  <c r="O9" i="2"/>
  <c r="O10" i="2"/>
  <c r="P10" i="2" s="1"/>
  <c r="O11" i="2"/>
  <c r="O2" i="2"/>
  <c r="N3" i="2"/>
  <c r="N4" i="2"/>
  <c r="P4" i="2" s="1"/>
  <c r="N5" i="2"/>
  <c r="N6" i="2"/>
  <c r="N7" i="2"/>
  <c r="N8" i="2"/>
  <c r="P8" i="2" s="1"/>
  <c r="N9" i="2"/>
  <c r="N10" i="2"/>
  <c r="N11" i="2"/>
  <c r="N2" i="2"/>
  <c r="P2" i="2" s="1"/>
  <c r="B5" i="3"/>
  <c r="B4" i="3"/>
  <c r="B16" i="3"/>
  <c r="B15" i="3"/>
  <c r="C14" i="3" l="1"/>
  <c r="R8" i="2"/>
  <c r="S8" i="2" s="1"/>
  <c r="C13" i="3"/>
  <c r="Q12" i="2"/>
  <c r="B6" i="3" s="1"/>
  <c r="P11" i="2"/>
  <c r="R11" i="2" s="1"/>
  <c r="S11" i="2" s="1"/>
  <c r="P7" i="2"/>
  <c r="R7" i="2" s="1"/>
  <c r="S7" i="2" s="1"/>
  <c r="P3" i="2"/>
  <c r="R3" i="2" s="1"/>
  <c r="S3" i="2" s="1"/>
  <c r="R2" i="2"/>
  <c r="R4" i="2"/>
  <c r="S4" i="2" s="1"/>
  <c r="R10" i="2"/>
  <c r="S10" i="2" s="1"/>
  <c r="P6" i="2"/>
  <c r="P9" i="2"/>
  <c r="R9" i="2" s="1"/>
  <c r="S9" i="2" s="1"/>
  <c r="P5" i="2"/>
  <c r="R5" i="2" s="1"/>
  <c r="S5" i="2" s="1"/>
  <c r="D14" i="3" l="1"/>
  <c r="E14" i="3" s="1"/>
  <c r="D15" i="3"/>
  <c r="E15" i="3" s="1"/>
  <c r="R6" i="2"/>
  <c r="S6" i="2" s="1"/>
  <c r="D13" i="3"/>
  <c r="E13" i="3" s="1"/>
  <c r="P12" i="2"/>
  <c r="B7" i="3" s="1"/>
  <c r="S2" i="2"/>
  <c r="R12" i="2" l="1"/>
  <c r="B8" i="3" l="1"/>
  <c r="B9" i="3" s="1"/>
</calcChain>
</file>

<file path=xl/sharedStrings.xml><?xml version="1.0" encoding="utf-8"?>
<sst xmlns="http://schemas.openxmlformats.org/spreadsheetml/2006/main" count="93" uniqueCount="73">
  <si>
    <t>Cost Assumptions</t>
  </si>
  <si>
    <t>Load#</t>
  </si>
  <si>
    <t>Date</t>
  </si>
  <si>
    <t>Orgin</t>
  </si>
  <si>
    <t>Destination</t>
  </si>
  <si>
    <t>Mode</t>
  </si>
  <si>
    <t>Miles</t>
  </si>
  <si>
    <t>Carrier Rate($)</t>
  </si>
  <si>
    <t>Customer Rate</t>
  </si>
  <si>
    <t>Carrier Accessorials ($)</t>
  </si>
  <si>
    <t>Customer Accessorials ($)</t>
  </si>
  <si>
    <t>Notes</t>
  </si>
  <si>
    <t>L-001</t>
  </si>
  <si>
    <t>L-002</t>
  </si>
  <si>
    <t>L-003</t>
  </si>
  <si>
    <t>L-004</t>
  </si>
  <si>
    <t>L-005</t>
  </si>
  <si>
    <t>L-006</t>
  </si>
  <si>
    <t>L-007</t>
  </si>
  <si>
    <t>L-008</t>
  </si>
  <si>
    <t>L-009</t>
  </si>
  <si>
    <t>L-010</t>
  </si>
  <si>
    <t>Indianpolis,IN</t>
  </si>
  <si>
    <t>Chicago, IL</t>
  </si>
  <si>
    <t>Columbus,OH</t>
  </si>
  <si>
    <t>Houston,TX</t>
  </si>
  <si>
    <t>NewOrleans,LA</t>
  </si>
  <si>
    <t>Kokomo,IN</t>
  </si>
  <si>
    <t>Akron,OH</t>
  </si>
  <si>
    <t>Tuscon,AZ</t>
  </si>
  <si>
    <t>Springfield,IL</t>
  </si>
  <si>
    <t>Baltimore,MD</t>
  </si>
  <si>
    <t>Lexington,KY</t>
  </si>
  <si>
    <t>Tampa,FL</t>
  </si>
  <si>
    <t>Greenbay,WI</t>
  </si>
  <si>
    <t>FTL</t>
  </si>
  <si>
    <t>LTL</t>
  </si>
  <si>
    <t>Intermodal</t>
  </si>
  <si>
    <t>Summary KPIs</t>
  </si>
  <si>
    <t>Overall</t>
  </si>
  <si>
    <t>Total Loads</t>
  </si>
  <si>
    <t>Total Miles</t>
  </si>
  <si>
    <t>Total Revenue ($)</t>
  </si>
  <si>
    <t>Total Cost ($)</t>
  </si>
  <si>
    <t>Total Margin ($)</t>
  </si>
  <si>
    <t>Margin %</t>
  </si>
  <si>
    <t>By Mode</t>
  </si>
  <si>
    <t>Loads</t>
  </si>
  <si>
    <t>Revenue ($)</t>
  </si>
  <si>
    <t>Cost ($)</t>
  </si>
  <si>
    <t>Parcel</t>
  </si>
  <si>
    <t>Indirect Costs($)</t>
  </si>
  <si>
    <t>Carrier accessorials ($)</t>
  </si>
  <si>
    <t>Customer accessorials ($)</t>
  </si>
  <si>
    <t>Fuel surcharge ($)</t>
  </si>
  <si>
    <t>Carrier Rate ADJ ($)</t>
  </si>
  <si>
    <t>Fuel Cost ($)</t>
  </si>
  <si>
    <t>Total Cost($)</t>
  </si>
  <si>
    <t>Revenue($)</t>
  </si>
  <si>
    <t>Margin(%)</t>
  </si>
  <si>
    <t>Margin($)</t>
  </si>
  <si>
    <t>Reasoning</t>
  </si>
  <si>
    <t>Applied for analysis. Can be changed to a per mile ($/mile) function if applical</t>
  </si>
  <si>
    <t>Customer Rate ADJ($)</t>
  </si>
  <si>
    <t>Indirect($)</t>
  </si>
  <si>
    <t>Total</t>
  </si>
  <si>
    <t>All accessorials were applied in Lane_cost for simplicity as it can vary for each lane.</t>
  </si>
  <si>
    <t xml:space="preserve"> Ie nessesary permits, equipment, etc…</t>
  </si>
  <si>
    <t>Pricing Scenarios</t>
  </si>
  <si>
    <t>Customer Rate Change($)</t>
  </si>
  <si>
    <t>Carrier Rate Change($)</t>
  </si>
  <si>
    <t xml:space="preserve">Change </t>
  </si>
  <si>
    <t>Model Inputs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</si>
</sst>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\$#,##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Calibri"/>
    </font>
    <font>
      <b/>
      <sz val="11"/>
      <name val="Calibri"/>
    </font>
    <font>
      <sz val="11"/>
      <color rgb="FF000000"/>
      <name val="Calibri"/>
    </font>
    <font>
      <sz val="8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/>
    <xf numFmtId="0" fontId="3" fillId="0" borderId="0" xfId="0" applyFont="1"/>
    <xf numFmtId="8" fontId="3" fillId="0" borderId="0" xfId="0" applyNumberFormat="1" applyFont="1"/>
    <xf numFmtId="9" fontId="3" fillId="0" borderId="0" xfId="1" applyFont="1"/>
    <xf numFmtId="0" fontId="0" fillId="2" borderId="0" xfId="0" applyFill="1"/>
    <xf numFmtId="6" fontId="0" fillId="3" borderId="0" xfId="0" applyNumberFormat="1" applyFill="1"/>
    <xf numFmtId="0" fontId="8" fillId="5" borderId="0" xfId="0" applyFont="1" applyFill="1"/>
    <xf numFmtId="0" fontId="0" fillId="3" borderId="2" xfId="0" applyFill="1" applyBorder="1"/>
    <xf numFmtId="14" fontId="0" fillId="3" borderId="2" xfId="0" applyNumberFormat="1" applyFill="1" applyBorder="1"/>
    <xf numFmtId="8" fontId="0" fillId="3" borderId="2" xfId="0" applyNumberFormat="1" applyFill="1" applyBorder="1"/>
    <xf numFmtId="8" fontId="0" fillId="4" borderId="2" xfId="0" applyNumberFormat="1" applyFill="1" applyBorder="1"/>
    <xf numFmtId="6" fontId="0" fillId="4" borderId="2" xfId="0" applyNumberFormat="1" applyFill="1" applyBorder="1"/>
    <xf numFmtId="9" fontId="0" fillId="4" borderId="2" xfId="1" applyFont="1" applyFill="1" applyBorder="1"/>
    <xf numFmtId="0" fontId="0" fillId="0" borderId="2" xfId="0" applyBorder="1" applyAlignment="1">
      <alignment horizontal="left" vertical="center" wrapText="1"/>
    </xf>
    <xf numFmtId="0" fontId="6" fillId="0" borderId="2" xfId="0" applyFont="1" applyBorder="1" applyAlignment="1">
      <alignment horizontal="right" vertical="center" wrapText="1"/>
    </xf>
    <xf numFmtId="164" fontId="6" fillId="0" borderId="2" xfId="0" applyNumberFormat="1" applyFont="1" applyBorder="1" applyAlignment="1">
      <alignment horizontal="right" vertical="center" wrapText="1"/>
    </xf>
    <xf numFmtId="10" fontId="6" fillId="0" borderId="2" xfId="0" applyNumberFormat="1" applyFont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164" fontId="0" fillId="0" borderId="2" xfId="0" applyNumberFormat="1" applyBorder="1" applyAlignment="1">
      <alignment horizontal="right" vertical="center" wrapText="1"/>
    </xf>
    <xf numFmtId="10" fontId="0" fillId="0" borderId="2" xfId="0" applyNumberFormat="1" applyBorder="1" applyAlignment="1">
      <alignment horizontal="right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7" borderId="1" xfId="0" applyFont="1" applyFill="1" applyBorder="1"/>
    <xf numFmtId="0" fontId="0" fillId="7" borderId="1" xfId="0" applyFill="1" applyBorder="1"/>
    <xf numFmtId="0" fontId="5" fillId="7" borderId="3" xfId="0" applyFont="1" applyFill="1" applyBorder="1"/>
    <xf numFmtId="0" fontId="0" fillId="7" borderId="3" xfId="0" applyFill="1" applyBorder="1"/>
    <xf numFmtId="0" fontId="0" fillId="8" borderId="0" xfId="0" applyFill="1"/>
    <xf numFmtId="6" fontId="0" fillId="8" borderId="0" xfId="0" applyNumberFormat="1" applyFill="1"/>
    <xf numFmtId="0" fontId="8" fillId="8" borderId="0" xfId="0" applyFont="1" applyFill="1"/>
    <xf numFmtId="6" fontId="0" fillId="2" borderId="0" xfId="0" applyNumberFormat="1" applyFill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yde\Downloads\Freight_Cost_Margin_Model.xlsx" TargetMode="External"/><Relationship Id="rId1" Type="http://schemas.openxmlformats.org/officeDocument/2006/relationships/externalLinkPath" Target="Freight_Cost_Margin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Inputs"/>
      <sheetName val="Lane_Cost_Model"/>
      <sheetName val="Summary"/>
      <sheetName val="Sensitivity"/>
    </sheetNames>
    <sheetDataSet>
      <sheetData sheetId="0"/>
      <sheetData sheetId="1"/>
      <sheetData sheetId="2">
        <row r="2">
          <cell r="E2" t="str">
            <v>FTL</v>
          </cell>
        </row>
        <row r="3">
          <cell r="E3" t="str">
            <v>FTL</v>
          </cell>
        </row>
        <row r="4">
          <cell r="E4" t="str">
            <v>LTL</v>
          </cell>
        </row>
        <row r="5">
          <cell r="E5" t="str">
            <v>Intermodal</v>
          </cell>
        </row>
        <row r="6">
          <cell r="E6" t="str">
            <v>FTL</v>
          </cell>
        </row>
        <row r="7">
          <cell r="E7"/>
        </row>
        <row r="8">
          <cell r="E8"/>
        </row>
        <row r="9">
          <cell r="E9"/>
        </row>
        <row r="10">
          <cell r="E10"/>
        </row>
        <row r="11">
          <cell r="E11"/>
        </row>
        <row r="12">
          <cell r="E12"/>
        </row>
        <row r="13">
          <cell r="E13"/>
        </row>
        <row r="14">
          <cell r="E14"/>
        </row>
        <row r="15">
          <cell r="E15"/>
        </row>
        <row r="16">
          <cell r="E16"/>
        </row>
        <row r="17">
          <cell r="E17"/>
        </row>
        <row r="18">
          <cell r="E18"/>
        </row>
        <row r="19">
          <cell r="E19"/>
        </row>
        <row r="20">
          <cell r="E20"/>
        </row>
        <row r="21">
          <cell r="E21"/>
        </row>
        <row r="22">
          <cell r="E22"/>
        </row>
        <row r="23">
          <cell r="E23"/>
        </row>
        <row r="24">
          <cell r="E24"/>
        </row>
        <row r="25">
          <cell r="E25"/>
        </row>
        <row r="26">
          <cell r="E26"/>
        </row>
        <row r="27">
          <cell r="E27"/>
        </row>
        <row r="28">
          <cell r="E28"/>
        </row>
        <row r="29">
          <cell r="E29"/>
        </row>
        <row r="30">
          <cell r="E30"/>
        </row>
        <row r="31">
          <cell r="E31"/>
        </row>
        <row r="32">
          <cell r="E32"/>
        </row>
        <row r="33">
          <cell r="E33"/>
        </row>
        <row r="34">
          <cell r="E34"/>
        </row>
        <row r="35">
          <cell r="E35"/>
        </row>
        <row r="36">
          <cell r="E36"/>
        </row>
        <row r="37">
          <cell r="E37"/>
        </row>
        <row r="38">
          <cell r="E38"/>
        </row>
        <row r="39">
          <cell r="E39"/>
        </row>
        <row r="40">
          <cell r="E40"/>
        </row>
        <row r="41">
          <cell r="E41"/>
        </row>
        <row r="42">
          <cell r="E42"/>
        </row>
        <row r="43">
          <cell r="E43"/>
        </row>
        <row r="44">
          <cell r="E44"/>
        </row>
        <row r="45">
          <cell r="E45"/>
        </row>
        <row r="46">
          <cell r="E46"/>
        </row>
        <row r="47">
          <cell r="E47"/>
        </row>
        <row r="48">
          <cell r="E48"/>
        </row>
        <row r="49">
          <cell r="E49"/>
        </row>
        <row r="50">
          <cell r="E50"/>
        </row>
        <row r="51">
          <cell r="E51"/>
        </row>
        <row r="52">
          <cell r="E52"/>
        </row>
        <row r="53">
          <cell r="E53"/>
        </row>
        <row r="54">
          <cell r="E54"/>
        </row>
        <row r="55">
          <cell r="E55"/>
        </row>
        <row r="56">
          <cell r="E56"/>
        </row>
        <row r="57">
          <cell r="E57"/>
        </row>
        <row r="58">
          <cell r="E58"/>
        </row>
        <row r="59">
          <cell r="E59"/>
        </row>
        <row r="60">
          <cell r="E60"/>
        </row>
        <row r="61">
          <cell r="E61"/>
        </row>
        <row r="62">
          <cell r="E62"/>
        </row>
        <row r="63">
          <cell r="E63"/>
        </row>
        <row r="64">
          <cell r="E64"/>
        </row>
        <row r="65">
          <cell r="E65"/>
        </row>
        <row r="66">
          <cell r="E66"/>
        </row>
        <row r="67">
          <cell r="E67"/>
        </row>
        <row r="68">
          <cell r="E68"/>
        </row>
        <row r="69">
          <cell r="E69"/>
        </row>
        <row r="70">
          <cell r="E70"/>
        </row>
        <row r="71">
          <cell r="E71"/>
        </row>
        <row r="72">
          <cell r="E72"/>
        </row>
        <row r="73">
          <cell r="E73"/>
        </row>
        <row r="74">
          <cell r="E74"/>
        </row>
        <row r="75">
          <cell r="E75"/>
        </row>
        <row r="76">
          <cell r="E76"/>
        </row>
        <row r="77">
          <cell r="E77"/>
        </row>
        <row r="78">
          <cell r="E78"/>
        </row>
        <row r="79">
          <cell r="E79"/>
        </row>
        <row r="80">
          <cell r="E80"/>
        </row>
        <row r="81">
          <cell r="E81"/>
        </row>
        <row r="82">
          <cell r="E82"/>
        </row>
        <row r="83">
          <cell r="E83"/>
        </row>
        <row r="84">
          <cell r="E84"/>
        </row>
        <row r="85">
          <cell r="E85"/>
        </row>
        <row r="86">
          <cell r="E86"/>
        </row>
        <row r="87">
          <cell r="E87"/>
        </row>
        <row r="88">
          <cell r="E88"/>
        </row>
        <row r="89">
          <cell r="E89"/>
        </row>
        <row r="90">
          <cell r="E90"/>
        </row>
        <row r="91">
          <cell r="E91"/>
        </row>
        <row r="92">
          <cell r="E92"/>
        </row>
        <row r="93">
          <cell r="E93"/>
        </row>
        <row r="94">
          <cell r="E94"/>
        </row>
        <row r="95">
          <cell r="E95"/>
        </row>
        <row r="96">
          <cell r="E96"/>
        </row>
        <row r="97">
          <cell r="E97"/>
        </row>
        <row r="98">
          <cell r="E98"/>
        </row>
        <row r="99">
          <cell r="E99"/>
        </row>
        <row r="100">
          <cell r="E100"/>
        </row>
        <row r="101">
          <cell r="E101"/>
        </row>
        <row r="102">
          <cell r="E102"/>
        </row>
        <row r="103">
          <cell r="E103"/>
        </row>
        <row r="104">
          <cell r="E104"/>
        </row>
        <row r="105">
          <cell r="E105"/>
        </row>
        <row r="106">
          <cell r="E106"/>
        </row>
        <row r="107">
          <cell r="E107"/>
        </row>
        <row r="108">
          <cell r="E108"/>
        </row>
        <row r="109">
          <cell r="E109"/>
        </row>
        <row r="110">
          <cell r="E110"/>
        </row>
        <row r="111">
          <cell r="E111"/>
        </row>
        <row r="112">
          <cell r="E112"/>
        </row>
        <row r="113">
          <cell r="E113"/>
        </row>
        <row r="114">
          <cell r="E114"/>
        </row>
        <row r="115">
          <cell r="E115"/>
        </row>
        <row r="116">
          <cell r="E116"/>
        </row>
        <row r="117">
          <cell r="E117"/>
        </row>
        <row r="118">
          <cell r="E118"/>
        </row>
        <row r="119">
          <cell r="E119"/>
        </row>
        <row r="120">
          <cell r="E120"/>
        </row>
        <row r="121">
          <cell r="E121"/>
        </row>
        <row r="122">
          <cell r="E122"/>
        </row>
        <row r="123">
          <cell r="E123"/>
        </row>
        <row r="124">
          <cell r="E124"/>
        </row>
        <row r="125">
          <cell r="E125"/>
        </row>
        <row r="126">
          <cell r="E126"/>
        </row>
        <row r="127">
          <cell r="E127"/>
        </row>
        <row r="128">
          <cell r="E128"/>
        </row>
        <row r="129">
          <cell r="E129"/>
        </row>
        <row r="130">
          <cell r="E130"/>
        </row>
        <row r="131">
          <cell r="E131"/>
        </row>
        <row r="132">
          <cell r="E132"/>
        </row>
        <row r="133">
          <cell r="E133"/>
        </row>
        <row r="134">
          <cell r="E134"/>
        </row>
        <row r="135">
          <cell r="E135"/>
        </row>
        <row r="136">
          <cell r="E136"/>
        </row>
        <row r="137">
          <cell r="E137"/>
        </row>
        <row r="138">
          <cell r="E138"/>
        </row>
        <row r="139">
          <cell r="E139"/>
        </row>
        <row r="140">
          <cell r="E140"/>
        </row>
        <row r="141">
          <cell r="E141"/>
        </row>
        <row r="142">
          <cell r="E142"/>
        </row>
        <row r="143">
          <cell r="E143"/>
        </row>
        <row r="144">
          <cell r="E144"/>
        </row>
        <row r="145">
          <cell r="E145"/>
        </row>
        <row r="146">
          <cell r="E146"/>
        </row>
        <row r="147">
          <cell r="E147"/>
        </row>
        <row r="148">
          <cell r="E148"/>
        </row>
        <row r="149">
          <cell r="E149"/>
        </row>
        <row r="150">
          <cell r="E150"/>
        </row>
        <row r="151">
          <cell r="E151"/>
        </row>
        <row r="152">
          <cell r="E152"/>
        </row>
        <row r="153">
          <cell r="E153"/>
        </row>
        <row r="154">
          <cell r="E154"/>
        </row>
        <row r="155">
          <cell r="E155"/>
        </row>
        <row r="156">
          <cell r="E156"/>
        </row>
        <row r="157">
          <cell r="E157"/>
        </row>
        <row r="158">
          <cell r="E158"/>
        </row>
        <row r="159">
          <cell r="E159"/>
        </row>
        <row r="160">
          <cell r="E160"/>
        </row>
        <row r="161">
          <cell r="E161"/>
        </row>
        <row r="162">
          <cell r="E162"/>
        </row>
        <row r="163">
          <cell r="E163"/>
        </row>
        <row r="164">
          <cell r="E164"/>
        </row>
        <row r="165">
          <cell r="E165"/>
        </row>
        <row r="166">
          <cell r="E166"/>
        </row>
        <row r="167">
          <cell r="E167"/>
        </row>
        <row r="168">
          <cell r="E168"/>
        </row>
        <row r="169">
          <cell r="E169"/>
        </row>
        <row r="170">
          <cell r="E170"/>
        </row>
        <row r="171">
          <cell r="E171"/>
        </row>
        <row r="172">
          <cell r="E172"/>
        </row>
        <row r="173">
          <cell r="E173"/>
        </row>
        <row r="174">
          <cell r="E174"/>
        </row>
        <row r="175">
          <cell r="E175"/>
        </row>
        <row r="176">
          <cell r="E176"/>
        </row>
        <row r="177">
          <cell r="E177"/>
        </row>
        <row r="178">
          <cell r="E178"/>
        </row>
        <row r="179">
          <cell r="E179"/>
        </row>
        <row r="180">
          <cell r="E180"/>
        </row>
        <row r="181">
          <cell r="E181"/>
        </row>
        <row r="182">
          <cell r="E182"/>
        </row>
        <row r="183">
          <cell r="E183"/>
        </row>
        <row r="184">
          <cell r="E184"/>
        </row>
        <row r="185">
          <cell r="E185"/>
        </row>
        <row r="186">
          <cell r="E186"/>
        </row>
        <row r="187">
          <cell r="E187"/>
        </row>
        <row r="188">
          <cell r="E188"/>
        </row>
        <row r="189">
          <cell r="E189"/>
        </row>
        <row r="190">
          <cell r="E190"/>
        </row>
        <row r="191">
          <cell r="E191"/>
        </row>
        <row r="192">
          <cell r="E192"/>
        </row>
        <row r="193">
          <cell r="E193"/>
        </row>
        <row r="194">
          <cell r="E194"/>
        </row>
        <row r="195">
          <cell r="E195"/>
        </row>
        <row r="196">
          <cell r="E196"/>
        </row>
        <row r="197">
          <cell r="E197"/>
        </row>
        <row r="198">
          <cell r="E198"/>
        </row>
        <row r="199">
          <cell r="E199"/>
        </row>
        <row r="200">
          <cell r="E200"/>
        </row>
        <row r="201">
          <cell r="E201"/>
        </row>
        <row r="202">
          <cell r="E202"/>
        </row>
        <row r="203">
          <cell r="E203"/>
        </row>
        <row r="204">
          <cell r="E204"/>
        </row>
        <row r="205">
          <cell r="E205"/>
        </row>
        <row r="206">
          <cell r="E206"/>
        </row>
        <row r="207">
          <cell r="E207"/>
        </row>
        <row r="208">
          <cell r="E208"/>
        </row>
        <row r="209">
          <cell r="E209"/>
        </row>
        <row r="210">
          <cell r="E210"/>
        </row>
        <row r="211">
          <cell r="E211"/>
        </row>
        <row r="212">
          <cell r="E212"/>
        </row>
        <row r="213">
          <cell r="E213"/>
        </row>
        <row r="214">
          <cell r="E214"/>
        </row>
        <row r="215">
          <cell r="E215"/>
        </row>
        <row r="216">
          <cell r="E216"/>
        </row>
        <row r="217">
          <cell r="E217"/>
        </row>
        <row r="218">
          <cell r="E218"/>
        </row>
        <row r="219">
          <cell r="E219"/>
        </row>
        <row r="220">
          <cell r="E220"/>
        </row>
        <row r="221">
          <cell r="E221"/>
        </row>
        <row r="222">
          <cell r="E222"/>
        </row>
        <row r="223">
          <cell r="E223"/>
        </row>
        <row r="224">
          <cell r="E224"/>
        </row>
        <row r="225">
          <cell r="E225"/>
        </row>
        <row r="226">
          <cell r="E226"/>
        </row>
        <row r="227">
          <cell r="E227"/>
        </row>
        <row r="228">
          <cell r="E228"/>
        </row>
        <row r="229">
          <cell r="E229"/>
        </row>
        <row r="230">
          <cell r="E230"/>
        </row>
        <row r="231">
          <cell r="E231"/>
        </row>
        <row r="232">
          <cell r="E232"/>
        </row>
        <row r="233">
          <cell r="E233"/>
        </row>
        <row r="234">
          <cell r="E234"/>
        </row>
        <row r="235">
          <cell r="E235"/>
        </row>
        <row r="236">
          <cell r="E236"/>
        </row>
        <row r="237">
          <cell r="E237"/>
        </row>
        <row r="238">
          <cell r="E238"/>
        </row>
        <row r="239">
          <cell r="E239"/>
        </row>
        <row r="240">
          <cell r="E240"/>
        </row>
        <row r="241">
          <cell r="E241"/>
        </row>
        <row r="242">
          <cell r="E242"/>
        </row>
        <row r="243">
          <cell r="E243"/>
        </row>
        <row r="244">
          <cell r="E244"/>
        </row>
        <row r="245">
          <cell r="E245"/>
        </row>
        <row r="246">
          <cell r="E246"/>
        </row>
        <row r="247">
          <cell r="E247"/>
        </row>
        <row r="248">
          <cell r="E248"/>
        </row>
        <row r="249">
          <cell r="E249"/>
        </row>
        <row r="250">
          <cell r="E250"/>
        </row>
        <row r="251">
          <cell r="E251"/>
        </row>
        <row r="252">
          <cell r="E252"/>
        </row>
        <row r="253">
          <cell r="E253"/>
        </row>
        <row r="254">
          <cell r="E254"/>
        </row>
        <row r="255">
          <cell r="E255"/>
        </row>
        <row r="256">
          <cell r="E256"/>
        </row>
        <row r="257">
          <cell r="E257"/>
        </row>
        <row r="258">
          <cell r="E258"/>
        </row>
        <row r="259">
          <cell r="E259"/>
        </row>
        <row r="260">
          <cell r="E260"/>
        </row>
        <row r="261">
          <cell r="E261"/>
        </row>
        <row r="262">
          <cell r="E262"/>
        </row>
        <row r="263">
          <cell r="E263"/>
        </row>
        <row r="264">
          <cell r="E264"/>
        </row>
        <row r="265">
          <cell r="E265"/>
        </row>
        <row r="266">
          <cell r="E266"/>
        </row>
        <row r="267">
          <cell r="E267"/>
        </row>
        <row r="268">
          <cell r="E268"/>
        </row>
        <row r="269">
          <cell r="E269"/>
        </row>
        <row r="270">
          <cell r="E270"/>
        </row>
        <row r="271">
          <cell r="E271"/>
        </row>
        <row r="272">
          <cell r="E272"/>
        </row>
        <row r="273">
          <cell r="E273"/>
        </row>
        <row r="274">
          <cell r="E274"/>
        </row>
        <row r="275">
          <cell r="E275"/>
        </row>
        <row r="276">
          <cell r="E276"/>
        </row>
        <row r="277">
          <cell r="E277"/>
        </row>
        <row r="278">
          <cell r="E278"/>
        </row>
        <row r="279">
          <cell r="E279"/>
        </row>
        <row r="280">
          <cell r="E280"/>
        </row>
        <row r="281">
          <cell r="E281"/>
        </row>
        <row r="282">
          <cell r="E282"/>
        </row>
        <row r="283">
          <cell r="E283"/>
        </row>
        <row r="284">
          <cell r="E284"/>
        </row>
        <row r="285">
          <cell r="E285"/>
        </row>
        <row r="286">
          <cell r="E286"/>
        </row>
        <row r="287">
          <cell r="E287"/>
        </row>
        <row r="288">
          <cell r="E288"/>
        </row>
        <row r="289">
          <cell r="E289"/>
        </row>
        <row r="290">
          <cell r="E290"/>
        </row>
        <row r="291">
          <cell r="E291"/>
        </row>
        <row r="292">
          <cell r="E292"/>
        </row>
        <row r="293">
          <cell r="E293"/>
        </row>
        <row r="294">
          <cell r="E294"/>
        </row>
        <row r="295">
          <cell r="E295"/>
        </row>
        <row r="296">
          <cell r="E296"/>
        </row>
        <row r="297">
          <cell r="E297"/>
        </row>
        <row r="298">
          <cell r="E298"/>
        </row>
        <row r="299">
          <cell r="E299"/>
        </row>
        <row r="300">
          <cell r="E300"/>
        </row>
        <row r="301">
          <cell r="E301"/>
        </row>
        <row r="302">
          <cell r="E302"/>
        </row>
        <row r="303">
          <cell r="E303"/>
        </row>
        <row r="304">
          <cell r="E304"/>
        </row>
        <row r="305">
          <cell r="E305"/>
        </row>
        <row r="306">
          <cell r="E306"/>
        </row>
        <row r="307">
          <cell r="E307"/>
        </row>
        <row r="308">
          <cell r="E308"/>
        </row>
        <row r="309">
          <cell r="E309"/>
        </row>
        <row r="310">
          <cell r="E310"/>
        </row>
        <row r="311">
          <cell r="E311"/>
        </row>
        <row r="312">
          <cell r="E312"/>
        </row>
        <row r="313">
          <cell r="E313"/>
        </row>
        <row r="314">
          <cell r="E314"/>
        </row>
        <row r="315">
          <cell r="E315"/>
        </row>
        <row r="316">
          <cell r="E316"/>
        </row>
        <row r="317">
          <cell r="E317"/>
        </row>
        <row r="318">
          <cell r="E318"/>
        </row>
        <row r="319">
          <cell r="E319"/>
        </row>
        <row r="320">
          <cell r="E320"/>
        </row>
        <row r="321">
          <cell r="E321"/>
        </row>
        <row r="322">
          <cell r="E322"/>
        </row>
        <row r="323">
          <cell r="E323"/>
        </row>
        <row r="324">
          <cell r="E324"/>
        </row>
        <row r="325">
          <cell r="E325"/>
        </row>
        <row r="326">
          <cell r="E326"/>
        </row>
        <row r="327">
          <cell r="E327"/>
        </row>
        <row r="328">
          <cell r="E328"/>
        </row>
        <row r="329">
          <cell r="E329"/>
        </row>
        <row r="330">
          <cell r="E330"/>
        </row>
        <row r="331">
          <cell r="E331"/>
        </row>
        <row r="332">
          <cell r="E332"/>
        </row>
        <row r="333">
          <cell r="E333"/>
        </row>
        <row r="334">
          <cell r="E334"/>
        </row>
        <row r="335">
          <cell r="E335"/>
        </row>
        <row r="336">
          <cell r="E336"/>
        </row>
        <row r="337">
          <cell r="E337"/>
        </row>
        <row r="338">
          <cell r="E338"/>
        </row>
        <row r="339">
          <cell r="E339"/>
        </row>
        <row r="340">
          <cell r="E340"/>
        </row>
        <row r="341">
          <cell r="E341"/>
        </row>
        <row r="342">
          <cell r="E342"/>
        </row>
        <row r="343">
          <cell r="E343"/>
        </row>
        <row r="344">
          <cell r="E344"/>
        </row>
        <row r="345">
          <cell r="E345"/>
        </row>
        <row r="346">
          <cell r="E346"/>
        </row>
        <row r="347">
          <cell r="E347"/>
        </row>
        <row r="348">
          <cell r="E348"/>
        </row>
        <row r="349">
          <cell r="E349"/>
        </row>
        <row r="350">
          <cell r="E350"/>
        </row>
        <row r="351">
          <cell r="E351"/>
        </row>
        <row r="352">
          <cell r="E352"/>
        </row>
        <row r="353">
          <cell r="E353"/>
        </row>
        <row r="354">
          <cell r="E354"/>
        </row>
        <row r="355">
          <cell r="E355"/>
        </row>
        <row r="356">
          <cell r="E356"/>
        </row>
        <row r="357">
          <cell r="E357"/>
        </row>
        <row r="358">
          <cell r="E358"/>
        </row>
        <row r="359">
          <cell r="E359"/>
        </row>
        <row r="360">
          <cell r="E360"/>
        </row>
        <row r="361">
          <cell r="E361"/>
        </row>
        <row r="362">
          <cell r="E362"/>
        </row>
        <row r="363">
          <cell r="E363"/>
        </row>
        <row r="364">
          <cell r="E364"/>
        </row>
        <row r="365">
          <cell r="E365"/>
        </row>
        <row r="366">
          <cell r="E366"/>
        </row>
        <row r="367">
          <cell r="E367"/>
        </row>
        <row r="368">
          <cell r="E368"/>
        </row>
        <row r="369">
          <cell r="E369"/>
        </row>
        <row r="370">
          <cell r="E370"/>
        </row>
        <row r="371">
          <cell r="E371"/>
        </row>
        <row r="372">
          <cell r="E372"/>
        </row>
        <row r="373">
          <cell r="E373"/>
        </row>
        <row r="374">
          <cell r="E374"/>
        </row>
        <row r="375">
          <cell r="E375"/>
        </row>
        <row r="376">
          <cell r="E376"/>
        </row>
        <row r="377">
          <cell r="E377"/>
        </row>
        <row r="378">
          <cell r="E378"/>
        </row>
        <row r="379">
          <cell r="E379"/>
        </row>
        <row r="380">
          <cell r="E380"/>
        </row>
        <row r="381">
          <cell r="E381"/>
        </row>
        <row r="382">
          <cell r="E382"/>
        </row>
        <row r="383">
          <cell r="E383"/>
        </row>
        <row r="384">
          <cell r="E384"/>
        </row>
        <row r="385">
          <cell r="E385"/>
        </row>
        <row r="386">
          <cell r="E386"/>
        </row>
        <row r="387">
          <cell r="E387"/>
        </row>
        <row r="388">
          <cell r="E388"/>
        </row>
        <row r="389">
          <cell r="E389"/>
        </row>
        <row r="390">
          <cell r="E390"/>
        </row>
        <row r="391">
          <cell r="E391"/>
        </row>
        <row r="392">
          <cell r="E392"/>
        </row>
        <row r="393">
          <cell r="E393"/>
        </row>
        <row r="394">
          <cell r="E394"/>
        </row>
        <row r="395">
          <cell r="E395"/>
        </row>
        <row r="396">
          <cell r="E396"/>
        </row>
        <row r="397">
          <cell r="E397"/>
        </row>
        <row r="398">
          <cell r="E398"/>
        </row>
        <row r="399">
          <cell r="E399"/>
        </row>
        <row r="400">
          <cell r="E400"/>
        </row>
        <row r="401">
          <cell r="E401"/>
        </row>
        <row r="402">
          <cell r="E402"/>
        </row>
        <row r="403">
          <cell r="E403"/>
        </row>
        <row r="404">
          <cell r="E404"/>
        </row>
        <row r="405">
          <cell r="E405"/>
        </row>
        <row r="406">
          <cell r="E406"/>
        </row>
        <row r="407">
          <cell r="E407"/>
        </row>
        <row r="408">
          <cell r="E408"/>
        </row>
        <row r="409">
          <cell r="E409"/>
        </row>
        <row r="410">
          <cell r="E410"/>
        </row>
        <row r="411">
          <cell r="E411"/>
        </row>
        <row r="412">
          <cell r="E412"/>
        </row>
        <row r="413">
          <cell r="E413"/>
        </row>
        <row r="414">
          <cell r="E414"/>
        </row>
        <row r="415">
          <cell r="E415"/>
        </row>
        <row r="416">
          <cell r="E416"/>
        </row>
        <row r="417">
          <cell r="E417"/>
        </row>
        <row r="418">
          <cell r="E418"/>
        </row>
        <row r="419">
          <cell r="E419"/>
        </row>
        <row r="420">
          <cell r="E420"/>
        </row>
        <row r="421">
          <cell r="E421"/>
        </row>
        <row r="422">
          <cell r="E422"/>
        </row>
        <row r="423">
          <cell r="E423"/>
        </row>
        <row r="424">
          <cell r="E424"/>
        </row>
        <row r="425">
          <cell r="E425"/>
        </row>
        <row r="426">
          <cell r="E426"/>
        </row>
        <row r="427">
          <cell r="E427"/>
        </row>
        <row r="428">
          <cell r="E428"/>
        </row>
        <row r="429">
          <cell r="E429"/>
        </row>
        <row r="430">
          <cell r="E430"/>
        </row>
        <row r="431">
          <cell r="E431"/>
        </row>
        <row r="432">
          <cell r="E432"/>
        </row>
        <row r="433">
          <cell r="E433"/>
        </row>
        <row r="434">
          <cell r="E434"/>
        </row>
        <row r="435">
          <cell r="E435"/>
        </row>
        <row r="436">
          <cell r="E436"/>
        </row>
        <row r="437">
          <cell r="E437"/>
        </row>
        <row r="438">
          <cell r="E438"/>
        </row>
        <row r="439">
          <cell r="E439"/>
        </row>
        <row r="440">
          <cell r="E440"/>
        </row>
        <row r="441">
          <cell r="E441"/>
        </row>
        <row r="442">
          <cell r="E442"/>
        </row>
        <row r="443">
          <cell r="E443"/>
        </row>
        <row r="444">
          <cell r="E444"/>
        </row>
        <row r="445">
          <cell r="E445"/>
        </row>
        <row r="446">
          <cell r="E446"/>
        </row>
        <row r="447">
          <cell r="E447"/>
        </row>
        <row r="448">
          <cell r="E448"/>
        </row>
        <row r="449">
          <cell r="E449"/>
        </row>
        <row r="450">
          <cell r="E450"/>
        </row>
        <row r="451">
          <cell r="E451"/>
        </row>
        <row r="452">
          <cell r="E452"/>
        </row>
        <row r="453">
          <cell r="E453"/>
        </row>
        <row r="454">
          <cell r="E454"/>
        </row>
        <row r="455">
          <cell r="E455"/>
        </row>
        <row r="456">
          <cell r="E456"/>
        </row>
        <row r="457">
          <cell r="E457"/>
        </row>
        <row r="458">
          <cell r="E458"/>
        </row>
        <row r="459">
          <cell r="E459"/>
        </row>
        <row r="460">
          <cell r="E460"/>
        </row>
        <row r="461">
          <cell r="E461"/>
        </row>
        <row r="462">
          <cell r="E462"/>
        </row>
        <row r="463">
          <cell r="E463"/>
        </row>
        <row r="464">
          <cell r="E464"/>
        </row>
        <row r="465">
          <cell r="E465"/>
        </row>
        <row r="466">
          <cell r="E466"/>
        </row>
        <row r="467">
          <cell r="E467"/>
        </row>
        <row r="468">
          <cell r="E468"/>
        </row>
        <row r="469">
          <cell r="E469"/>
        </row>
        <row r="470">
          <cell r="E470"/>
        </row>
        <row r="471">
          <cell r="E471"/>
        </row>
        <row r="472">
          <cell r="E472"/>
        </row>
        <row r="473">
          <cell r="E473"/>
        </row>
        <row r="474">
          <cell r="E474"/>
        </row>
        <row r="475">
          <cell r="E475"/>
        </row>
        <row r="476">
          <cell r="E476"/>
        </row>
        <row r="477">
          <cell r="E477"/>
        </row>
        <row r="478">
          <cell r="E478"/>
        </row>
        <row r="479">
          <cell r="E479"/>
        </row>
        <row r="480">
          <cell r="E480"/>
        </row>
        <row r="481">
          <cell r="E481"/>
        </row>
        <row r="482">
          <cell r="E482"/>
        </row>
        <row r="483">
          <cell r="E483"/>
        </row>
        <row r="484">
          <cell r="E484"/>
        </row>
        <row r="485">
          <cell r="E485"/>
        </row>
        <row r="486">
          <cell r="E486"/>
        </row>
        <row r="487">
          <cell r="E487"/>
        </row>
        <row r="488">
          <cell r="E488"/>
        </row>
        <row r="489">
          <cell r="E489"/>
        </row>
        <row r="490">
          <cell r="E490"/>
        </row>
        <row r="491">
          <cell r="E491"/>
        </row>
        <row r="492">
          <cell r="E492"/>
        </row>
        <row r="493">
          <cell r="E493"/>
        </row>
        <row r="494">
          <cell r="E494"/>
        </row>
        <row r="495">
          <cell r="E495"/>
        </row>
        <row r="496">
          <cell r="E496"/>
        </row>
        <row r="497">
          <cell r="E497"/>
        </row>
        <row r="498">
          <cell r="E498"/>
        </row>
        <row r="499">
          <cell r="E499"/>
        </row>
        <row r="500">
          <cell r="E500"/>
        </row>
        <row r="501">
          <cell r="E501"/>
        </row>
        <row r="502">
          <cell r="E502"/>
        </row>
        <row r="503">
          <cell r="E503"/>
        </row>
        <row r="504">
          <cell r="E504"/>
        </row>
        <row r="505">
          <cell r="E505"/>
        </row>
        <row r="506">
          <cell r="E506"/>
        </row>
        <row r="507">
          <cell r="E507"/>
        </row>
        <row r="508">
          <cell r="E508"/>
        </row>
        <row r="509">
          <cell r="E509"/>
        </row>
        <row r="510">
          <cell r="E510"/>
        </row>
        <row r="511">
          <cell r="E511"/>
        </row>
        <row r="512">
          <cell r="E512"/>
        </row>
        <row r="513">
          <cell r="E513"/>
        </row>
        <row r="514">
          <cell r="E514"/>
        </row>
        <row r="515">
          <cell r="E515"/>
        </row>
        <row r="516">
          <cell r="E516"/>
        </row>
        <row r="517">
          <cell r="E517"/>
        </row>
        <row r="518">
          <cell r="E518"/>
        </row>
        <row r="519">
          <cell r="E519"/>
        </row>
        <row r="520">
          <cell r="E520"/>
        </row>
        <row r="521">
          <cell r="E521"/>
        </row>
        <row r="522">
          <cell r="E522"/>
        </row>
        <row r="523">
          <cell r="E523"/>
        </row>
        <row r="524">
          <cell r="E524"/>
        </row>
        <row r="525">
          <cell r="E525"/>
        </row>
        <row r="526">
          <cell r="E526"/>
        </row>
        <row r="527">
          <cell r="E527"/>
        </row>
        <row r="528">
          <cell r="E528"/>
        </row>
        <row r="529">
          <cell r="E529"/>
        </row>
        <row r="530">
          <cell r="E530"/>
        </row>
        <row r="531">
          <cell r="E531"/>
        </row>
        <row r="532">
          <cell r="E532"/>
        </row>
        <row r="533">
          <cell r="E533"/>
        </row>
        <row r="534">
          <cell r="E534"/>
        </row>
        <row r="535">
          <cell r="E535"/>
        </row>
        <row r="536">
          <cell r="E536"/>
        </row>
        <row r="537">
          <cell r="E537"/>
        </row>
        <row r="538">
          <cell r="E538"/>
        </row>
        <row r="539">
          <cell r="E539"/>
        </row>
        <row r="540">
          <cell r="E540"/>
        </row>
        <row r="541">
          <cell r="E541"/>
        </row>
        <row r="542">
          <cell r="E542"/>
        </row>
        <row r="543">
          <cell r="E543"/>
        </row>
        <row r="544">
          <cell r="E544"/>
        </row>
        <row r="545">
          <cell r="E545"/>
        </row>
        <row r="546">
          <cell r="E546"/>
        </row>
        <row r="547">
          <cell r="E547"/>
        </row>
        <row r="548">
          <cell r="E548"/>
        </row>
        <row r="549">
          <cell r="E549"/>
        </row>
        <row r="550">
          <cell r="E550"/>
        </row>
        <row r="551">
          <cell r="E551"/>
        </row>
        <row r="552">
          <cell r="E552"/>
        </row>
        <row r="553">
          <cell r="E553"/>
        </row>
        <row r="554">
          <cell r="E554"/>
        </row>
        <row r="555">
          <cell r="E555"/>
        </row>
        <row r="556">
          <cell r="E556"/>
        </row>
        <row r="557">
          <cell r="E557"/>
        </row>
        <row r="558">
          <cell r="E558"/>
        </row>
        <row r="559">
          <cell r="E559"/>
        </row>
        <row r="560">
          <cell r="E560"/>
        </row>
        <row r="561">
          <cell r="E561"/>
        </row>
        <row r="562">
          <cell r="E562"/>
        </row>
        <row r="563">
          <cell r="E563"/>
        </row>
        <row r="564">
          <cell r="E564"/>
        </row>
        <row r="565">
          <cell r="E565"/>
        </row>
        <row r="566">
          <cell r="E566"/>
        </row>
        <row r="567">
          <cell r="E567"/>
        </row>
        <row r="568">
          <cell r="E568"/>
        </row>
        <row r="569">
          <cell r="E569"/>
        </row>
        <row r="570">
          <cell r="E570"/>
        </row>
        <row r="571">
          <cell r="E571"/>
        </row>
        <row r="572">
          <cell r="E572"/>
        </row>
        <row r="573">
          <cell r="E573"/>
        </row>
        <row r="574">
          <cell r="E574"/>
        </row>
        <row r="575">
          <cell r="E575"/>
        </row>
        <row r="576">
          <cell r="E576"/>
        </row>
        <row r="577">
          <cell r="E577"/>
        </row>
        <row r="578">
          <cell r="E578"/>
        </row>
        <row r="579">
          <cell r="E579"/>
        </row>
        <row r="580">
          <cell r="E580"/>
        </row>
        <row r="581">
          <cell r="E581"/>
        </row>
        <row r="582">
          <cell r="E582"/>
        </row>
        <row r="583">
          <cell r="E583"/>
        </row>
        <row r="584">
          <cell r="E584"/>
        </row>
        <row r="585">
          <cell r="E585"/>
        </row>
        <row r="586">
          <cell r="E586"/>
        </row>
        <row r="587">
          <cell r="E587"/>
        </row>
        <row r="588">
          <cell r="E588"/>
        </row>
        <row r="589">
          <cell r="E589"/>
        </row>
        <row r="590">
          <cell r="E590"/>
        </row>
        <row r="591">
          <cell r="E591"/>
        </row>
        <row r="592">
          <cell r="E592"/>
        </row>
        <row r="593">
          <cell r="E593"/>
        </row>
        <row r="594">
          <cell r="E594"/>
        </row>
        <row r="595">
          <cell r="E595"/>
        </row>
        <row r="596">
          <cell r="E596"/>
        </row>
        <row r="597">
          <cell r="E597"/>
        </row>
        <row r="598">
          <cell r="E598"/>
        </row>
        <row r="599">
          <cell r="E599"/>
        </row>
        <row r="600">
          <cell r="E600"/>
        </row>
        <row r="601">
          <cell r="E601"/>
        </row>
        <row r="602">
          <cell r="E602"/>
        </row>
        <row r="603">
          <cell r="E603"/>
        </row>
        <row r="604">
          <cell r="E604"/>
        </row>
        <row r="605">
          <cell r="E605"/>
        </row>
        <row r="606">
          <cell r="E606"/>
        </row>
        <row r="607">
          <cell r="E607"/>
        </row>
        <row r="608">
          <cell r="E608"/>
        </row>
        <row r="609">
          <cell r="E609"/>
        </row>
        <row r="610">
          <cell r="E610"/>
        </row>
        <row r="611">
          <cell r="E611"/>
        </row>
        <row r="612">
          <cell r="E612"/>
        </row>
        <row r="613">
          <cell r="E613"/>
        </row>
        <row r="614">
          <cell r="E614"/>
        </row>
        <row r="615">
          <cell r="E615"/>
        </row>
        <row r="616">
          <cell r="E616"/>
        </row>
        <row r="617">
          <cell r="E617"/>
        </row>
        <row r="618">
          <cell r="E618"/>
        </row>
        <row r="619">
          <cell r="E619"/>
        </row>
        <row r="620">
          <cell r="E620"/>
        </row>
        <row r="621">
          <cell r="E621"/>
        </row>
        <row r="622">
          <cell r="E622"/>
        </row>
        <row r="623">
          <cell r="E623"/>
        </row>
        <row r="624">
          <cell r="E624"/>
        </row>
        <row r="625">
          <cell r="E625"/>
        </row>
        <row r="626">
          <cell r="E626"/>
        </row>
        <row r="627">
          <cell r="E627"/>
        </row>
        <row r="628">
          <cell r="E628"/>
        </row>
        <row r="629">
          <cell r="E629"/>
        </row>
        <row r="630">
          <cell r="E630"/>
        </row>
        <row r="631">
          <cell r="E631"/>
        </row>
        <row r="632">
          <cell r="E632"/>
        </row>
        <row r="633">
          <cell r="E633"/>
        </row>
        <row r="634">
          <cell r="E634"/>
        </row>
        <row r="635">
          <cell r="E635"/>
        </row>
        <row r="636">
          <cell r="E636"/>
        </row>
        <row r="637">
          <cell r="E637"/>
        </row>
        <row r="638">
          <cell r="E638"/>
        </row>
        <row r="639">
          <cell r="E639"/>
        </row>
        <row r="640">
          <cell r="E640"/>
        </row>
        <row r="641">
          <cell r="E641"/>
        </row>
        <row r="642">
          <cell r="E642"/>
        </row>
        <row r="643">
          <cell r="E643"/>
        </row>
        <row r="644">
          <cell r="E644"/>
        </row>
        <row r="645">
          <cell r="E645"/>
        </row>
        <row r="646">
          <cell r="E646"/>
        </row>
        <row r="647">
          <cell r="E647"/>
        </row>
        <row r="648">
          <cell r="E648"/>
        </row>
        <row r="649">
          <cell r="E649"/>
        </row>
        <row r="650">
          <cell r="E650"/>
        </row>
        <row r="651">
          <cell r="E651"/>
        </row>
        <row r="652">
          <cell r="E652"/>
        </row>
        <row r="653">
          <cell r="E653"/>
        </row>
        <row r="654">
          <cell r="E654"/>
        </row>
        <row r="655">
          <cell r="E655"/>
        </row>
        <row r="656">
          <cell r="E656"/>
        </row>
        <row r="657">
          <cell r="E657"/>
        </row>
        <row r="658">
          <cell r="E658"/>
        </row>
        <row r="659">
          <cell r="E659"/>
        </row>
        <row r="660">
          <cell r="E660"/>
        </row>
        <row r="661">
          <cell r="E661"/>
        </row>
        <row r="662">
          <cell r="E662"/>
        </row>
        <row r="663">
          <cell r="E663"/>
        </row>
        <row r="664">
          <cell r="E664"/>
        </row>
        <row r="665">
          <cell r="E665"/>
        </row>
        <row r="666">
          <cell r="E666"/>
        </row>
        <row r="667">
          <cell r="E667"/>
        </row>
        <row r="668">
          <cell r="E668"/>
        </row>
        <row r="669">
          <cell r="E669"/>
        </row>
        <row r="670">
          <cell r="E670"/>
        </row>
        <row r="671">
          <cell r="E671"/>
        </row>
        <row r="672">
          <cell r="E672"/>
        </row>
        <row r="673">
          <cell r="E673"/>
        </row>
        <row r="674">
          <cell r="E674"/>
        </row>
        <row r="675">
          <cell r="E675"/>
        </row>
        <row r="676">
          <cell r="E676"/>
        </row>
        <row r="677">
          <cell r="E677"/>
        </row>
        <row r="678">
          <cell r="E678"/>
        </row>
        <row r="679">
          <cell r="E679"/>
        </row>
        <row r="680">
          <cell r="E680"/>
        </row>
        <row r="681">
          <cell r="E681"/>
        </row>
        <row r="682">
          <cell r="E682"/>
        </row>
        <row r="683">
          <cell r="E683"/>
        </row>
        <row r="684">
          <cell r="E684"/>
        </row>
        <row r="685">
          <cell r="E685"/>
        </row>
        <row r="686">
          <cell r="E686"/>
        </row>
        <row r="687">
          <cell r="E687"/>
        </row>
        <row r="688">
          <cell r="E688"/>
        </row>
        <row r="689">
          <cell r="E689"/>
        </row>
        <row r="690">
          <cell r="E690"/>
        </row>
        <row r="691">
          <cell r="E691"/>
        </row>
        <row r="692">
          <cell r="E692"/>
        </row>
        <row r="693">
          <cell r="E693"/>
        </row>
        <row r="694">
          <cell r="E694"/>
        </row>
        <row r="695">
          <cell r="E695"/>
        </row>
        <row r="696">
          <cell r="E696"/>
        </row>
        <row r="697">
          <cell r="E697"/>
        </row>
        <row r="698">
          <cell r="E698"/>
        </row>
        <row r="699">
          <cell r="E699"/>
        </row>
        <row r="700">
          <cell r="E700"/>
        </row>
        <row r="701">
          <cell r="E701"/>
        </row>
        <row r="702">
          <cell r="E702"/>
        </row>
        <row r="703">
          <cell r="E703"/>
        </row>
        <row r="704">
          <cell r="E704"/>
        </row>
        <row r="705">
          <cell r="E705"/>
        </row>
        <row r="706">
          <cell r="E706"/>
        </row>
        <row r="707">
          <cell r="E707"/>
        </row>
        <row r="708">
          <cell r="E708"/>
        </row>
        <row r="709">
          <cell r="E709"/>
        </row>
        <row r="710">
          <cell r="E710"/>
        </row>
        <row r="711">
          <cell r="E711"/>
        </row>
        <row r="712">
          <cell r="E712"/>
        </row>
        <row r="713">
          <cell r="E713"/>
        </row>
        <row r="714">
          <cell r="E714"/>
        </row>
        <row r="715">
          <cell r="E715"/>
        </row>
        <row r="716">
          <cell r="E716"/>
        </row>
        <row r="717">
          <cell r="E717"/>
        </row>
        <row r="718">
          <cell r="E718"/>
        </row>
        <row r="719">
          <cell r="E719"/>
        </row>
        <row r="720">
          <cell r="E720"/>
        </row>
        <row r="721">
          <cell r="E721"/>
        </row>
        <row r="722">
          <cell r="E722"/>
        </row>
        <row r="723">
          <cell r="E723"/>
        </row>
        <row r="724">
          <cell r="E724"/>
        </row>
        <row r="725">
          <cell r="E725"/>
        </row>
        <row r="726">
          <cell r="E726"/>
        </row>
        <row r="727">
          <cell r="E727"/>
        </row>
        <row r="728">
          <cell r="E728"/>
        </row>
        <row r="729">
          <cell r="E729"/>
        </row>
        <row r="730">
          <cell r="E730"/>
        </row>
        <row r="731">
          <cell r="E731"/>
        </row>
        <row r="732">
          <cell r="E732"/>
        </row>
        <row r="733">
          <cell r="E733"/>
        </row>
        <row r="734">
          <cell r="E734"/>
        </row>
        <row r="735">
          <cell r="E735"/>
        </row>
        <row r="736">
          <cell r="E736"/>
        </row>
        <row r="737">
          <cell r="E737"/>
        </row>
        <row r="738">
          <cell r="E738"/>
        </row>
        <row r="739">
          <cell r="E739"/>
        </row>
        <row r="740">
          <cell r="E740"/>
        </row>
        <row r="741">
          <cell r="E741"/>
        </row>
        <row r="742">
          <cell r="E742"/>
        </row>
        <row r="743">
          <cell r="E743"/>
        </row>
        <row r="744">
          <cell r="E744"/>
        </row>
        <row r="745">
          <cell r="E745"/>
        </row>
        <row r="746">
          <cell r="E746"/>
        </row>
        <row r="747">
          <cell r="E747"/>
        </row>
        <row r="748">
          <cell r="E748"/>
        </row>
        <row r="749">
          <cell r="E749"/>
        </row>
        <row r="750">
          <cell r="E750"/>
        </row>
        <row r="751">
          <cell r="E751"/>
        </row>
        <row r="752">
          <cell r="E752"/>
        </row>
        <row r="753">
          <cell r="E753"/>
        </row>
        <row r="754">
          <cell r="E754"/>
        </row>
        <row r="755">
          <cell r="E755"/>
        </row>
        <row r="756">
          <cell r="E756"/>
        </row>
        <row r="757">
          <cell r="E757"/>
        </row>
        <row r="758">
          <cell r="E758"/>
        </row>
        <row r="759">
          <cell r="E759"/>
        </row>
        <row r="760">
          <cell r="E760"/>
        </row>
        <row r="761">
          <cell r="E761"/>
        </row>
        <row r="762">
          <cell r="E762"/>
        </row>
        <row r="763">
          <cell r="E763"/>
        </row>
        <row r="764">
          <cell r="E764"/>
        </row>
        <row r="765">
          <cell r="E765"/>
        </row>
        <row r="766">
          <cell r="E766"/>
        </row>
        <row r="767">
          <cell r="E767"/>
        </row>
        <row r="768">
          <cell r="E768"/>
        </row>
        <row r="769">
          <cell r="E769"/>
        </row>
        <row r="770">
          <cell r="E770"/>
        </row>
        <row r="771">
          <cell r="E771"/>
        </row>
        <row r="772">
          <cell r="E772"/>
        </row>
        <row r="773">
          <cell r="E773"/>
        </row>
        <row r="774">
          <cell r="E774"/>
        </row>
        <row r="775">
          <cell r="E775"/>
        </row>
        <row r="776">
          <cell r="E776"/>
        </row>
        <row r="777">
          <cell r="E777"/>
        </row>
        <row r="778">
          <cell r="E778"/>
        </row>
        <row r="779">
          <cell r="E779"/>
        </row>
        <row r="780">
          <cell r="E780"/>
        </row>
        <row r="781">
          <cell r="E781"/>
        </row>
        <row r="782">
          <cell r="E782"/>
        </row>
        <row r="783">
          <cell r="E783"/>
        </row>
        <row r="784">
          <cell r="E784"/>
        </row>
        <row r="785">
          <cell r="E785"/>
        </row>
        <row r="786">
          <cell r="E786"/>
        </row>
        <row r="787">
          <cell r="E787"/>
        </row>
        <row r="788">
          <cell r="E788"/>
        </row>
        <row r="789">
          <cell r="E789"/>
        </row>
        <row r="790">
          <cell r="E790"/>
        </row>
        <row r="791">
          <cell r="E791"/>
        </row>
        <row r="792">
          <cell r="E792"/>
        </row>
        <row r="793">
          <cell r="E793"/>
        </row>
        <row r="794">
          <cell r="E794"/>
        </row>
        <row r="795">
          <cell r="E795"/>
        </row>
        <row r="796">
          <cell r="E796"/>
        </row>
        <row r="797">
          <cell r="E797"/>
        </row>
        <row r="798">
          <cell r="E798"/>
        </row>
        <row r="799">
          <cell r="E799"/>
        </row>
        <row r="800">
          <cell r="E800"/>
        </row>
        <row r="801">
          <cell r="E801"/>
        </row>
        <row r="802">
          <cell r="E802"/>
        </row>
        <row r="803">
          <cell r="E803"/>
        </row>
        <row r="804">
          <cell r="E804"/>
        </row>
        <row r="805">
          <cell r="E805"/>
        </row>
        <row r="806">
          <cell r="E806"/>
        </row>
        <row r="807">
          <cell r="E807"/>
        </row>
        <row r="808">
          <cell r="E808"/>
        </row>
        <row r="809">
          <cell r="E809"/>
        </row>
        <row r="810">
          <cell r="E810"/>
        </row>
        <row r="811">
          <cell r="E811"/>
        </row>
        <row r="812">
          <cell r="E812"/>
        </row>
        <row r="813">
          <cell r="E813"/>
        </row>
        <row r="814">
          <cell r="E814"/>
        </row>
        <row r="815">
          <cell r="E815"/>
        </row>
        <row r="816">
          <cell r="E816"/>
        </row>
        <row r="817">
          <cell r="E817"/>
        </row>
        <row r="818">
          <cell r="E818"/>
        </row>
        <row r="819">
          <cell r="E819"/>
        </row>
        <row r="820">
          <cell r="E820"/>
        </row>
        <row r="821">
          <cell r="E821"/>
        </row>
        <row r="822">
          <cell r="E822"/>
        </row>
        <row r="823">
          <cell r="E823"/>
        </row>
        <row r="824">
          <cell r="E824"/>
        </row>
        <row r="825">
          <cell r="E825"/>
        </row>
        <row r="826">
          <cell r="E826"/>
        </row>
        <row r="827">
          <cell r="E827"/>
        </row>
        <row r="828">
          <cell r="E828"/>
        </row>
        <row r="829">
          <cell r="E829"/>
        </row>
        <row r="830">
          <cell r="E830"/>
        </row>
        <row r="831">
          <cell r="E831"/>
        </row>
        <row r="832">
          <cell r="E832"/>
        </row>
        <row r="833">
          <cell r="E833"/>
        </row>
        <row r="834">
          <cell r="E834"/>
        </row>
        <row r="835">
          <cell r="E835"/>
        </row>
        <row r="836">
          <cell r="E836"/>
        </row>
        <row r="837">
          <cell r="E837"/>
        </row>
        <row r="838">
          <cell r="E838"/>
        </row>
        <row r="839">
          <cell r="E839"/>
        </row>
        <row r="840">
          <cell r="E840"/>
        </row>
        <row r="841">
          <cell r="E841"/>
        </row>
        <row r="842">
          <cell r="E842"/>
        </row>
        <row r="843">
          <cell r="E843"/>
        </row>
        <row r="844">
          <cell r="E844"/>
        </row>
        <row r="845">
          <cell r="E845"/>
        </row>
        <row r="846">
          <cell r="E846"/>
        </row>
        <row r="847">
          <cell r="E847"/>
        </row>
        <row r="848">
          <cell r="E848"/>
        </row>
        <row r="849">
          <cell r="E849"/>
        </row>
        <row r="850">
          <cell r="E850"/>
        </row>
        <row r="851">
          <cell r="E851"/>
        </row>
        <row r="852">
          <cell r="E852"/>
        </row>
        <row r="853">
          <cell r="E853"/>
        </row>
        <row r="854">
          <cell r="E854"/>
        </row>
        <row r="855">
          <cell r="E855"/>
        </row>
        <row r="856">
          <cell r="E856"/>
        </row>
        <row r="857">
          <cell r="E857"/>
        </row>
        <row r="858">
          <cell r="E858"/>
        </row>
        <row r="859">
          <cell r="E859"/>
        </row>
        <row r="860">
          <cell r="E860"/>
        </row>
        <row r="861">
          <cell r="E861"/>
        </row>
        <row r="862">
          <cell r="E862"/>
        </row>
        <row r="863">
          <cell r="E863"/>
        </row>
        <row r="864">
          <cell r="E864"/>
        </row>
        <row r="865">
          <cell r="E865"/>
        </row>
        <row r="866">
          <cell r="E866"/>
        </row>
        <row r="867">
          <cell r="E867"/>
        </row>
        <row r="868">
          <cell r="E868"/>
        </row>
        <row r="869">
          <cell r="E869"/>
        </row>
        <row r="870">
          <cell r="E870"/>
        </row>
        <row r="871">
          <cell r="E871"/>
        </row>
        <row r="872">
          <cell r="E872"/>
        </row>
        <row r="873">
          <cell r="E873"/>
        </row>
        <row r="874">
          <cell r="E874"/>
        </row>
        <row r="875">
          <cell r="E875"/>
        </row>
        <row r="876">
          <cell r="E876"/>
        </row>
        <row r="877">
          <cell r="E877"/>
        </row>
        <row r="878">
          <cell r="E878"/>
        </row>
        <row r="879">
          <cell r="E879"/>
        </row>
        <row r="880">
          <cell r="E880"/>
        </row>
        <row r="881">
          <cell r="E881"/>
        </row>
        <row r="882">
          <cell r="E882"/>
        </row>
        <row r="883">
          <cell r="E883"/>
        </row>
        <row r="884">
          <cell r="E884"/>
        </row>
        <row r="885">
          <cell r="E885"/>
        </row>
        <row r="886">
          <cell r="E886"/>
        </row>
        <row r="887">
          <cell r="E887"/>
        </row>
        <row r="888">
          <cell r="E888"/>
        </row>
        <row r="889">
          <cell r="E889"/>
        </row>
        <row r="890">
          <cell r="E890"/>
        </row>
        <row r="891">
          <cell r="E891"/>
        </row>
        <row r="892">
          <cell r="E892"/>
        </row>
        <row r="893">
          <cell r="E893"/>
        </row>
        <row r="894">
          <cell r="E894"/>
        </row>
        <row r="895">
          <cell r="E895"/>
        </row>
        <row r="896">
          <cell r="E896"/>
        </row>
        <row r="897">
          <cell r="E897"/>
        </row>
        <row r="898">
          <cell r="E898"/>
        </row>
        <row r="899">
          <cell r="E899"/>
        </row>
        <row r="900">
          <cell r="E900"/>
        </row>
        <row r="901">
          <cell r="E901"/>
        </row>
        <row r="902">
          <cell r="E902"/>
        </row>
        <row r="903">
          <cell r="E903"/>
        </row>
        <row r="904">
          <cell r="E904"/>
        </row>
        <row r="905">
          <cell r="E905"/>
        </row>
        <row r="906">
          <cell r="E906"/>
        </row>
        <row r="907">
          <cell r="E907"/>
        </row>
        <row r="908">
          <cell r="E908"/>
        </row>
        <row r="909">
          <cell r="E909"/>
        </row>
        <row r="910">
          <cell r="E910"/>
        </row>
        <row r="911">
          <cell r="E911"/>
        </row>
        <row r="912">
          <cell r="E912"/>
        </row>
        <row r="913">
          <cell r="E913"/>
        </row>
        <row r="914">
          <cell r="E914"/>
        </row>
        <row r="915">
          <cell r="E915"/>
        </row>
        <row r="916">
          <cell r="E916"/>
        </row>
        <row r="917">
          <cell r="E917"/>
        </row>
        <row r="918">
          <cell r="E918"/>
        </row>
        <row r="919">
          <cell r="E919"/>
        </row>
        <row r="920">
          <cell r="E920"/>
        </row>
        <row r="921">
          <cell r="E921"/>
        </row>
        <row r="922">
          <cell r="E922"/>
        </row>
        <row r="923">
          <cell r="E923"/>
        </row>
        <row r="924">
          <cell r="E924"/>
        </row>
        <row r="925">
          <cell r="E925"/>
        </row>
        <row r="926">
          <cell r="E926"/>
        </row>
        <row r="927">
          <cell r="E927"/>
        </row>
        <row r="928">
          <cell r="E928"/>
        </row>
        <row r="929">
          <cell r="E929"/>
        </row>
        <row r="930">
          <cell r="E930"/>
        </row>
        <row r="931">
          <cell r="E931"/>
        </row>
        <row r="932">
          <cell r="E932"/>
        </row>
        <row r="933">
          <cell r="E933"/>
        </row>
        <row r="934">
          <cell r="E934"/>
        </row>
        <row r="935">
          <cell r="E935"/>
        </row>
        <row r="936">
          <cell r="E936"/>
        </row>
        <row r="937">
          <cell r="E937"/>
        </row>
        <row r="938">
          <cell r="E938"/>
        </row>
        <row r="939">
          <cell r="E939"/>
        </row>
        <row r="940">
          <cell r="E940"/>
        </row>
        <row r="941">
          <cell r="E941"/>
        </row>
        <row r="942">
          <cell r="E942"/>
        </row>
        <row r="943">
          <cell r="E943"/>
        </row>
        <row r="944">
          <cell r="E944"/>
        </row>
        <row r="945">
          <cell r="E945"/>
        </row>
        <row r="946">
          <cell r="E946"/>
        </row>
        <row r="947">
          <cell r="E947"/>
        </row>
        <row r="948">
          <cell r="E948"/>
        </row>
        <row r="949">
          <cell r="E949"/>
        </row>
        <row r="950">
          <cell r="E950"/>
        </row>
        <row r="951">
          <cell r="E951"/>
        </row>
        <row r="952">
          <cell r="E952"/>
        </row>
        <row r="953">
          <cell r="E953"/>
        </row>
        <row r="954">
          <cell r="E954"/>
        </row>
        <row r="955">
          <cell r="E955"/>
        </row>
        <row r="956">
          <cell r="E956"/>
        </row>
        <row r="957">
          <cell r="E957"/>
        </row>
        <row r="958">
          <cell r="E958"/>
        </row>
        <row r="959">
          <cell r="E959"/>
        </row>
        <row r="960">
          <cell r="E960"/>
        </row>
        <row r="961">
          <cell r="E961"/>
        </row>
        <row r="962">
          <cell r="E962"/>
        </row>
        <row r="963">
          <cell r="E963"/>
        </row>
        <row r="964">
          <cell r="E964"/>
        </row>
        <row r="965">
          <cell r="E965"/>
        </row>
        <row r="966">
          <cell r="E966"/>
        </row>
        <row r="967">
          <cell r="E967"/>
        </row>
        <row r="968">
          <cell r="E968"/>
        </row>
        <row r="969">
          <cell r="E969"/>
        </row>
        <row r="970">
          <cell r="E970"/>
        </row>
        <row r="971">
          <cell r="E971"/>
        </row>
        <row r="972">
          <cell r="E972"/>
        </row>
        <row r="973">
          <cell r="E973"/>
        </row>
        <row r="974">
          <cell r="E974"/>
        </row>
        <row r="975">
          <cell r="E975"/>
        </row>
        <row r="976">
          <cell r="E976"/>
        </row>
        <row r="977">
          <cell r="E977"/>
        </row>
        <row r="978">
          <cell r="E978"/>
        </row>
        <row r="979">
          <cell r="E979"/>
        </row>
        <row r="980">
          <cell r="E980"/>
        </row>
        <row r="981">
          <cell r="E981"/>
        </row>
        <row r="982">
          <cell r="E982"/>
        </row>
        <row r="983">
          <cell r="E983"/>
        </row>
        <row r="984">
          <cell r="E984"/>
        </row>
        <row r="985">
          <cell r="E985"/>
        </row>
        <row r="986">
          <cell r="E986"/>
        </row>
        <row r="987">
          <cell r="E987"/>
        </row>
        <row r="988">
          <cell r="E988"/>
        </row>
        <row r="989">
          <cell r="E989"/>
        </row>
        <row r="990">
          <cell r="E990"/>
        </row>
        <row r="991">
          <cell r="E991"/>
        </row>
        <row r="992">
          <cell r="E992"/>
        </row>
        <row r="993">
          <cell r="E993"/>
        </row>
        <row r="994">
          <cell r="E994"/>
        </row>
        <row r="995">
          <cell r="E995"/>
        </row>
        <row r="996">
          <cell r="E996"/>
        </row>
        <row r="997">
          <cell r="E997"/>
        </row>
        <row r="998">
          <cell r="E998"/>
        </row>
        <row r="999">
          <cell r="E999"/>
        </row>
        <row r="1000">
          <cell r="E1000"/>
        </row>
        <row r="1001">
          <cell r="E1001"/>
        </row>
      </sheetData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1975-BD0D-4AA7-AE33-027F6DBFF750}">
  <dimension ref="A1:C11"/>
  <sheetViews>
    <sheetView tabSelected="1" workbookViewId="0">
      <selection activeCell="C14" sqref="C14"/>
    </sheetView>
  </sheetViews>
  <sheetFormatPr defaultRowHeight="14.25" x14ac:dyDescent="0.45"/>
  <cols>
    <col min="1" max="1" width="21.33203125" bestFit="1" customWidth="1"/>
    <col min="3" max="3" width="54.265625" bestFit="1" customWidth="1"/>
  </cols>
  <sheetData>
    <row r="1" spans="1:3" x14ac:dyDescent="0.45">
      <c r="A1" s="31" t="s">
        <v>72</v>
      </c>
      <c r="B1" s="31"/>
    </row>
    <row r="3" spans="1:3" x14ac:dyDescent="0.45">
      <c r="A3" s="32" t="s">
        <v>0</v>
      </c>
      <c r="B3" s="32"/>
      <c r="C3" s="8" t="s">
        <v>61</v>
      </c>
    </row>
    <row r="4" spans="1:3" x14ac:dyDescent="0.45">
      <c r="A4" s="2" t="s">
        <v>54</v>
      </c>
      <c r="B4" s="7">
        <v>50</v>
      </c>
      <c r="C4" s="8" t="s">
        <v>62</v>
      </c>
    </row>
    <row r="5" spans="1:3" x14ac:dyDescent="0.45">
      <c r="A5" s="2" t="s">
        <v>51</v>
      </c>
      <c r="B5" s="7">
        <v>0</v>
      </c>
      <c r="C5" s="8"/>
    </row>
    <row r="6" spans="1:3" x14ac:dyDescent="0.45">
      <c r="A6" s="2" t="s">
        <v>52</v>
      </c>
      <c r="B6" s="7">
        <v>0</v>
      </c>
      <c r="C6" s="8" t="s">
        <v>66</v>
      </c>
    </row>
    <row r="7" spans="1:3" x14ac:dyDescent="0.45">
      <c r="A7" s="2" t="s">
        <v>53</v>
      </c>
      <c r="B7" s="7">
        <v>0</v>
      </c>
      <c r="C7" s="8" t="s">
        <v>67</v>
      </c>
    </row>
    <row r="8" spans="1:3" x14ac:dyDescent="0.45">
      <c r="A8" s="27"/>
      <c r="B8" s="28"/>
      <c r="C8" s="29"/>
    </row>
    <row r="9" spans="1:3" x14ac:dyDescent="0.45">
      <c r="A9" s="6" t="s">
        <v>68</v>
      </c>
      <c r="B9" s="30"/>
      <c r="C9" s="8"/>
    </row>
    <row r="10" spans="1:3" x14ac:dyDescent="0.45">
      <c r="A10" s="2" t="s">
        <v>69</v>
      </c>
      <c r="B10" s="7">
        <v>10</v>
      </c>
      <c r="C10" s="8" t="s">
        <v>71</v>
      </c>
    </row>
    <row r="11" spans="1:3" x14ac:dyDescent="0.45">
      <c r="A11" s="2" t="s">
        <v>70</v>
      </c>
      <c r="B11" s="7">
        <v>0</v>
      </c>
      <c r="C11" s="8" t="s">
        <v>71</v>
      </c>
    </row>
  </sheetData>
  <mergeCells count="2">
    <mergeCell ref="A1:B1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1A9B-A860-45AE-B279-E7006A8969C0}">
  <dimension ref="A1:T12"/>
  <sheetViews>
    <sheetView workbookViewId="0">
      <selection activeCell="S12" sqref="S12"/>
    </sheetView>
  </sheetViews>
  <sheetFormatPr defaultRowHeight="14.25" x14ac:dyDescent="0.45"/>
  <cols>
    <col min="2" max="2" width="11.73046875" customWidth="1"/>
    <col min="3" max="3" width="13" customWidth="1"/>
    <col min="4" max="4" width="13.06640625" customWidth="1"/>
    <col min="5" max="5" width="9.9296875" customWidth="1"/>
    <col min="7" max="7" width="16.1328125" customWidth="1"/>
    <col min="8" max="8" width="14.1328125" customWidth="1"/>
    <col min="9" max="9" width="18.796875" customWidth="1"/>
    <col min="10" max="10" width="21.53125" customWidth="1"/>
    <col min="11" max="12" width="27.796875" customWidth="1"/>
    <col min="13" max="13" width="15.6640625" bestFit="1" customWidth="1"/>
    <col min="14" max="14" width="10.59765625" bestFit="1" customWidth="1"/>
    <col min="15" max="15" width="10.3984375" bestFit="1" customWidth="1"/>
    <col min="16" max="16" width="10.796875" bestFit="1" customWidth="1"/>
    <col min="17" max="17" width="10.3984375" bestFit="1" customWidth="1"/>
    <col min="18" max="18" width="9.3984375" bestFit="1" customWidth="1"/>
    <col min="19" max="19" width="8.6640625" bestFit="1" customWidth="1"/>
  </cols>
  <sheetData>
    <row r="1" spans="1:20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63</v>
      </c>
      <c r="M1" s="1" t="s">
        <v>55</v>
      </c>
      <c r="N1" s="1" t="s">
        <v>56</v>
      </c>
      <c r="O1" s="1" t="s">
        <v>64</v>
      </c>
      <c r="P1" s="1" t="s">
        <v>57</v>
      </c>
      <c r="Q1" s="1" t="s">
        <v>58</v>
      </c>
      <c r="R1" s="1" t="s">
        <v>60</v>
      </c>
      <c r="S1" s="1" t="s">
        <v>59</v>
      </c>
    </row>
    <row r="2" spans="1:20" x14ac:dyDescent="0.45">
      <c r="A2" s="9" t="s">
        <v>12</v>
      </c>
      <c r="B2" s="10">
        <v>45669</v>
      </c>
      <c r="C2" s="9" t="s">
        <v>22</v>
      </c>
      <c r="D2" s="9" t="s">
        <v>29</v>
      </c>
      <c r="E2" s="9" t="s">
        <v>35</v>
      </c>
      <c r="F2" s="9">
        <v>1600</v>
      </c>
      <c r="G2" s="11">
        <v>3300</v>
      </c>
      <c r="H2" s="11">
        <v>3500</v>
      </c>
      <c r="I2" s="11">
        <v>45</v>
      </c>
      <c r="J2" s="11">
        <v>75</v>
      </c>
      <c r="K2" s="9"/>
      <c r="L2" s="12">
        <f>(H2+J2) + Model!$B$10</f>
        <v>3585</v>
      </c>
      <c r="M2" s="12">
        <f>(G2+I2) + Model!$B$11</f>
        <v>3345</v>
      </c>
      <c r="N2" s="13">
        <f>Model!$B$4</f>
        <v>50</v>
      </c>
      <c r="O2" s="13">
        <f>Model!$B$5</f>
        <v>0</v>
      </c>
      <c r="P2" s="12">
        <f>M2+N2+O2</f>
        <v>3395</v>
      </c>
      <c r="Q2" s="12">
        <f>L2</f>
        <v>3585</v>
      </c>
      <c r="R2" s="12">
        <f>Q2-P2</f>
        <v>190</v>
      </c>
      <c r="S2" s="14">
        <f>IF(Q2=0,0,R2/Q2)</f>
        <v>5.2998605299860529E-2</v>
      </c>
    </row>
    <row r="3" spans="1:20" x14ac:dyDescent="0.45">
      <c r="A3" s="9" t="s">
        <v>13</v>
      </c>
      <c r="B3" s="10">
        <v>45831</v>
      </c>
      <c r="C3" s="9" t="s">
        <v>23</v>
      </c>
      <c r="D3" s="9" t="s">
        <v>22</v>
      </c>
      <c r="E3" s="9" t="s">
        <v>35</v>
      </c>
      <c r="F3" s="9">
        <v>180</v>
      </c>
      <c r="G3" s="11">
        <v>450</v>
      </c>
      <c r="H3" s="11">
        <v>600</v>
      </c>
      <c r="I3" s="11">
        <v>0</v>
      </c>
      <c r="J3" s="11">
        <v>0</v>
      </c>
      <c r="K3" s="9"/>
      <c r="L3" s="12">
        <f>(H3+J3) + Model!$B$10</f>
        <v>610</v>
      </c>
      <c r="M3" s="12">
        <f t="shared" ref="M3:M11" si="0">G3+I3</f>
        <v>450</v>
      </c>
      <c r="N3" s="13">
        <f>Model!$B$4</f>
        <v>50</v>
      </c>
      <c r="O3" s="13">
        <f>Model!$B$5</f>
        <v>0</v>
      </c>
      <c r="P3" s="12">
        <f t="shared" ref="P3:P11" si="1">M3+N3+O3</f>
        <v>500</v>
      </c>
      <c r="Q3" s="12">
        <f t="shared" ref="Q3:Q11" si="2">L3</f>
        <v>610</v>
      </c>
      <c r="R3" s="12">
        <f t="shared" ref="R3:R11" si="3">Q3-P3</f>
        <v>110</v>
      </c>
      <c r="S3" s="14">
        <f t="shared" ref="S3:S11" si="4">IF(Q3=0,0,R3/Q3)</f>
        <v>0.18032786885245902</v>
      </c>
    </row>
    <row r="4" spans="1:20" x14ac:dyDescent="0.45">
      <c r="A4" s="9" t="s">
        <v>14</v>
      </c>
      <c r="B4" s="10">
        <v>45895</v>
      </c>
      <c r="C4" s="9" t="s">
        <v>22</v>
      </c>
      <c r="D4" s="9" t="s">
        <v>30</v>
      </c>
      <c r="E4" s="9" t="s">
        <v>36</v>
      </c>
      <c r="F4" s="9">
        <v>209</v>
      </c>
      <c r="G4" s="11">
        <v>128</v>
      </c>
      <c r="H4" s="11">
        <v>500</v>
      </c>
      <c r="I4" s="11">
        <v>20</v>
      </c>
      <c r="J4" s="11">
        <v>0</v>
      </c>
      <c r="K4" s="9"/>
      <c r="L4" s="12">
        <f>(H4+J4) + Model!$B$10</f>
        <v>510</v>
      </c>
      <c r="M4" s="12">
        <f t="shared" si="0"/>
        <v>148</v>
      </c>
      <c r="N4" s="13">
        <f>Model!$B$4</f>
        <v>50</v>
      </c>
      <c r="O4" s="13">
        <f>Model!$B$5</f>
        <v>0</v>
      </c>
      <c r="P4" s="12">
        <f t="shared" si="1"/>
        <v>198</v>
      </c>
      <c r="Q4" s="12">
        <f t="shared" si="2"/>
        <v>510</v>
      </c>
      <c r="R4" s="12">
        <f t="shared" si="3"/>
        <v>312</v>
      </c>
      <c r="S4" s="14">
        <f t="shared" si="4"/>
        <v>0.61176470588235299</v>
      </c>
    </row>
    <row r="5" spans="1:20" x14ac:dyDescent="0.45">
      <c r="A5" s="9" t="s">
        <v>15</v>
      </c>
      <c r="B5" s="10">
        <v>45933</v>
      </c>
      <c r="C5" s="9" t="s">
        <v>24</v>
      </c>
      <c r="D5" s="9" t="s">
        <v>31</v>
      </c>
      <c r="E5" s="9" t="s">
        <v>35</v>
      </c>
      <c r="F5" s="9">
        <v>418</v>
      </c>
      <c r="G5" s="11">
        <v>950</v>
      </c>
      <c r="H5" s="11">
        <v>1500</v>
      </c>
      <c r="I5" s="11">
        <v>100</v>
      </c>
      <c r="J5" s="11">
        <v>35</v>
      </c>
      <c r="K5" s="9"/>
      <c r="L5" s="12">
        <f>(H5+J5) + Model!$B$10</f>
        <v>1545</v>
      </c>
      <c r="M5" s="12">
        <f t="shared" si="0"/>
        <v>1050</v>
      </c>
      <c r="N5" s="13">
        <f>Model!$B$4</f>
        <v>50</v>
      </c>
      <c r="O5" s="13">
        <f>Model!$B$5</f>
        <v>0</v>
      </c>
      <c r="P5" s="12">
        <f t="shared" si="1"/>
        <v>1100</v>
      </c>
      <c r="Q5" s="12">
        <f t="shared" si="2"/>
        <v>1545</v>
      </c>
      <c r="R5" s="12">
        <f t="shared" si="3"/>
        <v>445</v>
      </c>
      <c r="S5" s="14">
        <f t="shared" si="4"/>
        <v>0.28802588996763756</v>
      </c>
    </row>
    <row r="6" spans="1:20" x14ac:dyDescent="0.45">
      <c r="A6" s="9" t="s">
        <v>16</v>
      </c>
      <c r="B6" s="10">
        <v>45916</v>
      </c>
      <c r="C6" s="9" t="s">
        <v>25</v>
      </c>
      <c r="D6" s="9" t="s">
        <v>22</v>
      </c>
      <c r="E6" s="9" t="s">
        <v>37</v>
      </c>
      <c r="F6" s="9">
        <v>1015</v>
      </c>
      <c r="G6" s="11">
        <v>1600</v>
      </c>
      <c r="H6" s="11">
        <v>2000</v>
      </c>
      <c r="I6" s="11">
        <v>0</v>
      </c>
      <c r="J6" s="11">
        <v>150</v>
      </c>
      <c r="K6" s="9"/>
      <c r="L6" s="12">
        <f>(H6+J6) + Model!$B$10</f>
        <v>2160</v>
      </c>
      <c r="M6" s="12">
        <f t="shared" si="0"/>
        <v>1600</v>
      </c>
      <c r="N6" s="13">
        <f>Model!$B$4</f>
        <v>50</v>
      </c>
      <c r="O6" s="13">
        <f>Model!$B$5</f>
        <v>0</v>
      </c>
      <c r="P6" s="12">
        <f t="shared" si="1"/>
        <v>1650</v>
      </c>
      <c r="Q6" s="12">
        <f t="shared" si="2"/>
        <v>2160</v>
      </c>
      <c r="R6" s="12">
        <f t="shared" si="3"/>
        <v>510</v>
      </c>
      <c r="S6" s="14">
        <f t="shared" si="4"/>
        <v>0.2361111111111111</v>
      </c>
    </row>
    <row r="7" spans="1:20" x14ac:dyDescent="0.45">
      <c r="A7" s="9" t="s">
        <v>17</v>
      </c>
      <c r="B7" s="10">
        <v>45847</v>
      </c>
      <c r="C7" s="9" t="s">
        <v>26</v>
      </c>
      <c r="D7" s="9" t="s">
        <v>22</v>
      </c>
      <c r="E7" s="9" t="s">
        <v>35</v>
      </c>
      <c r="F7" s="9">
        <v>819</v>
      </c>
      <c r="G7" s="11">
        <v>1775</v>
      </c>
      <c r="H7" s="11">
        <v>2000</v>
      </c>
      <c r="I7" s="11">
        <v>0</v>
      </c>
      <c r="J7" s="11">
        <v>0</v>
      </c>
      <c r="K7" s="9"/>
      <c r="L7" s="12">
        <f>(H7+J7) + Model!$B$10</f>
        <v>2010</v>
      </c>
      <c r="M7" s="12">
        <f t="shared" si="0"/>
        <v>1775</v>
      </c>
      <c r="N7" s="13">
        <f>Model!$B$4</f>
        <v>50</v>
      </c>
      <c r="O7" s="13">
        <f>Model!$B$5</f>
        <v>0</v>
      </c>
      <c r="P7" s="12">
        <f t="shared" si="1"/>
        <v>1825</v>
      </c>
      <c r="Q7" s="12">
        <f t="shared" si="2"/>
        <v>2010</v>
      </c>
      <c r="R7" s="12">
        <f t="shared" si="3"/>
        <v>185</v>
      </c>
      <c r="S7" s="14">
        <f t="shared" si="4"/>
        <v>9.2039800995024873E-2</v>
      </c>
    </row>
    <row r="8" spans="1:20" x14ac:dyDescent="0.45">
      <c r="A8" s="9" t="s">
        <v>18</v>
      </c>
      <c r="B8" s="10">
        <v>45838</v>
      </c>
      <c r="C8" s="9" t="s">
        <v>27</v>
      </c>
      <c r="D8" s="9" t="s">
        <v>32</v>
      </c>
      <c r="E8" s="9" t="s">
        <v>35</v>
      </c>
      <c r="F8" s="9">
        <v>234</v>
      </c>
      <c r="G8" s="11">
        <v>350</v>
      </c>
      <c r="H8" s="11">
        <v>800</v>
      </c>
      <c r="I8" s="11">
        <v>15</v>
      </c>
      <c r="J8" s="11">
        <v>0</v>
      </c>
      <c r="K8" s="9"/>
      <c r="L8" s="12">
        <f>(H8+J8) + Model!$B$10</f>
        <v>810</v>
      </c>
      <c r="M8" s="12">
        <f t="shared" si="0"/>
        <v>365</v>
      </c>
      <c r="N8" s="13">
        <f>Model!$B$4</f>
        <v>50</v>
      </c>
      <c r="O8" s="13">
        <f>Model!$B$5</f>
        <v>0</v>
      </c>
      <c r="P8" s="12">
        <f t="shared" si="1"/>
        <v>415</v>
      </c>
      <c r="Q8" s="12">
        <f t="shared" si="2"/>
        <v>810</v>
      </c>
      <c r="R8" s="12">
        <f t="shared" si="3"/>
        <v>395</v>
      </c>
      <c r="S8" s="14">
        <f t="shared" si="4"/>
        <v>0.48765432098765432</v>
      </c>
    </row>
    <row r="9" spans="1:20" x14ac:dyDescent="0.45">
      <c r="A9" s="9" t="s">
        <v>19</v>
      </c>
      <c r="B9" s="10">
        <v>45921</v>
      </c>
      <c r="C9" s="9" t="s">
        <v>22</v>
      </c>
      <c r="D9" s="9" t="s">
        <v>33</v>
      </c>
      <c r="E9" s="9" t="s">
        <v>35</v>
      </c>
      <c r="F9" s="9">
        <v>989</v>
      </c>
      <c r="G9" s="11">
        <v>2600</v>
      </c>
      <c r="H9" s="11">
        <v>3000</v>
      </c>
      <c r="I9" s="11">
        <v>0</v>
      </c>
      <c r="J9" s="11">
        <v>25</v>
      </c>
      <c r="K9" s="9"/>
      <c r="L9" s="12">
        <f>(H9+J9) + Model!$B$10</f>
        <v>3035</v>
      </c>
      <c r="M9" s="12">
        <f t="shared" si="0"/>
        <v>2600</v>
      </c>
      <c r="N9" s="13">
        <f>Model!$B$4</f>
        <v>50</v>
      </c>
      <c r="O9" s="13">
        <f>Model!$B$5</f>
        <v>0</v>
      </c>
      <c r="P9" s="12">
        <f t="shared" si="1"/>
        <v>2650</v>
      </c>
      <c r="Q9" s="12">
        <f t="shared" si="2"/>
        <v>3035</v>
      </c>
      <c r="R9" s="12">
        <f t="shared" si="3"/>
        <v>385</v>
      </c>
      <c r="S9" s="14">
        <f t="shared" si="4"/>
        <v>0.12685337726523888</v>
      </c>
    </row>
    <row r="10" spans="1:20" x14ac:dyDescent="0.45">
      <c r="A10" s="9" t="s">
        <v>20</v>
      </c>
      <c r="B10" s="10">
        <v>45975</v>
      </c>
      <c r="C10" s="9" t="s">
        <v>22</v>
      </c>
      <c r="D10" s="9" t="s">
        <v>34</v>
      </c>
      <c r="E10" s="9" t="s">
        <v>35</v>
      </c>
      <c r="F10" s="9">
        <v>385</v>
      </c>
      <c r="G10" s="11">
        <v>1400</v>
      </c>
      <c r="H10" s="11">
        <v>2000</v>
      </c>
      <c r="I10" s="11">
        <v>0</v>
      </c>
      <c r="J10" s="11">
        <v>50</v>
      </c>
      <c r="K10" s="9"/>
      <c r="L10" s="12">
        <f>(H10+J10) + Model!$B$10</f>
        <v>2060</v>
      </c>
      <c r="M10" s="12">
        <f t="shared" si="0"/>
        <v>1400</v>
      </c>
      <c r="N10" s="13">
        <f>Model!$B$4</f>
        <v>50</v>
      </c>
      <c r="O10" s="13">
        <f>Model!$B$5</f>
        <v>0</v>
      </c>
      <c r="P10" s="12">
        <f>M10+N10+O10</f>
        <v>1450</v>
      </c>
      <c r="Q10" s="12">
        <f t="shared" si="2"/>
        <v>2060</v>
      </c>
      <c r="R10" s="12">
        <f t="shared" si="3"/>
        <v>610</v>
      </c>
      <c r="S10" s="14">
        <f t="shared" si="4"/>
        <v>0.29611650485436891</v>
      </c>
    </row>
    <row r="11" spans="1:20" x14ac:dyDescent="0.45">
      <c r="A11" s="9" t="s">
        <v>21</v>
      </c>
      <c r="B11" s="10">
        <v>46008</v>
      </c>
      <c r="C11" s="9" t="s">
        <v>28</v>
      </c>
      <c r="D11" s="9" t="s">
        <v>22</v>
      </c>
      <c r="E11" s="9" t="s">
        <v>36</v>
      </c>
      <c r="F11" s="9">
        <v>299</v>
      </c>
      <c r="G11" s="11">
        <v>500</v>
      </c>
      <c r="H11" s="11">
        <v>1000</v>
      </c>
      <c r="I11" s="11">
        <v>10</v>
      </c>
      <c r="J11" s="11">
        <v>75</v>
      </c>
      <c r="K11" s="9"/>
      <c r="L11" s="12">
        <f>(H11+J11) + Model!$B$10</f>
        <v>1085</v>
      </c>
      <c r="M11" s="12">
        <f t="shared" si="0"/>
        <v>510</v>
      </c>
      <c r="N11" s="13">
        <f>Model!$B$4</f>
        <v>50</v>
      </c>
      <c r="O11" s="13">
        <f>Model!$B$5</f>
        <v>0</v>
      </c>
      <c r="P11" s="12">
        <f t="shared" si="1"/>
        <v>560</v>
      </c>
      <c r="Q11" s="12">
        <f t="shared" si="2"/>
        <v>1085</v>
      </c>
      <c r="R11" s="12">
        <f t="shared" si="3"/>
        <v>525</v>
      </c>
      <c r="S11" s="14">
        <f t="shared" si="4"/>
        <v>0.4838709677419355</v>
      </c>
    </row>
    <row r="12" spans="1:20" x14ac:dyDescent="0.45">
      <c r="L12" s="3"/>
      <c r="M12" s="3"/>
      <c r="N12" s="3"/>
      <c r="O12" s="3"/>
      <c r="P12" s="4">
        <f>SUM(P2:P11)</f>
        <v>13743</v>
      </c>
      <c r="Q12" s="4">
        <f>SUM(Q2:Q11)</f>
        <v>17410</v>
      </c>
      <c r="R12" s="4">
        <f>SUM(R2:R11)</f>
        <v>3667</v>
      </c>
      <c r="S12" s="5">
        <f>'Lane_Cost_(SYNTHESIZED)'!F18</f>
        <v>0</v>
      </c>
      <c r="T12" s="3" t="s">
        <v>65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30CB-9E9C-4FEB-B245-C76AFB1E0D07}">
  <dimension ref="A1:E16"/>
  <sheetViews>
    <sheetView workbookViewId="0">
      <selection activeCell="F10" sqref="F10"/>
    </sheetView>
  </sheetViews>
  <sheetFormatPr defaultRowHeight="14.25" x14ac:dyDescent="0.45"/>
  <cols>
    <col min="1" max="1" width="15.53125" bestFit="1" customWidth="1"/>
    <col min="2" max="2" width="7.19921875" bestFit="1" customWidth="1"/>
    <col min="3" max="3" width="7.86328125" bestFit="1" customWidth="1"/>
    <col min="4" max="4" width="7.265625" bestFit="1" customWidth="1"/>
    <col min="5" max="5" width="8.33203125" bestFit="1" customWidth="1"/>
  </cols>
  <sheetData>
    <row r="1" spans="1:5" ht="18" x14ac:dyDescent="0.55000000000000004">
      <c r="A1" s="33" t="s">
        <v>38</v>
      </c>
      <c r="B1" s="33"/>
      <c r="C1" s="33"/>
      <c r="D1" s="33"/>
    </row>
    <row r="3" spans="1:5" x14ac:dyDescent="0.45">
      <c r="A3" s="25" t="s">
        <v>39</v>
      </c>
      <c r="B3" s="26"/>
      <c r="C3" s="24"/>
      <c r="D3" s="24"/>
    </row>
    <row r="4" spans="1:5" ht="28.5" x14ac:dyDescent="0.45">
      <c r="A4" s="15" t="s">
        <v>40</v>
      </c>
      <c r="B4" s="16">
        <f>COUNTA('Lane_Cost_(SYNTHESIZED)'!A2:A11)</f>
        <v>10</v>
      </c>
    </row>
    <row r="5" spans="1:5" x14ac:dyDescent="0.45">
      <c r="A5" s="15" t="s">
        <v>41</v>
      </c>
      <c r="B5" s="16">
        <f>SUM('Lane_Cost_(SYNTHESIZED)'!F2:F11)</f>
        <v>6148</v>
      </c>
    </row>
    <row r="6" spans="1:5" ht="42.75" x14ac:dyDescent="0.45">
      <c r="A6" s="15" t="s">
        <v>42</v>
      </c>
      <c r="B6" s="17">
        <f>'Lane_Cost_(SYNTHESIZED)'!Q12</f>
        <v>17410</v>
      </c>
    </row>
    <row r="7" spans="1:5" ht="28.5" x14ac:dyDescent="0.45">
      <c r="A7" s="15" t="s">
        <v>43</v>
      </c>
      <c r="B7" s="17">
        <f>'Lane_Cost_(SYNTHESIZED)'!P12</f>
        <v>13743</v>
      </c>
    </row>
    <row r="8" spans="1:5" ht="28.5" x14ac:dyDescent="0.45">
      <c r="A8" s="15" t="s">
        <v>44</v>
      </c>
      <c r="B8" s="17">
        <f>'Lane_Cost_(SYNTHESIZED)'!R12</f>
        <v>3667</v>
      </c>
    </row>
    <row r="9" spans="1:5" x14ac:dyDescent="0.45">
      <c r="A9" s="15" t="s">
        <v>45</v>
      </c>
      <c r="B9" s="18">
        <f>IF(B6=0,0,B8/B6)</f>
        <v>0.21062607696726018</v>
      </c>
    </row>
    <row r="11" spans="1:5" x14ac:dyDescent="0.45">
      <c r="A11" s="23" t="s">
        <v>46</v>
      </c>
      <c r="B11" s="24"/>
      <c r="C11" s="24"/>
      <c r="D11" s="24"/>
      <c r="E11" s="24"/>
    </row>
    <row r="12" spans="1:5" ht="28.5" x14ac:dyDescent="0.45">
      <c r="A12" s="22" t="s">
        <v>5</v>
      </c>
      <c r="B12" s="22" t="s">
        <v>47</v>
      </c>
      <c r="C12" s="22" t="s">
        <v>48</v>
      </c>
      <c r="D12" s="22" t="s">
        <v>49</v>
      </c>
      <c r="E12" s="22" t="s">
        <v>45</v>
      </c>
    </row>
    <row r="13" spans="1:5" x14ac:dyDescent="0.45">
      <c r="A13" s="15" t="s">
        <v>35</v>
      </c>
      <c r="B13" s="19">
        <f>COUNTIF('Lane_Cost_(SYNTHESIZED)'!E2:E11,"FTL")</f>
        <v>7</v>
      </c>
      <c r="C13" s="20">
        <f>SUMIFS('Lane_Cost_(SYNTHESIZED)'!Q2:Q11,'Lane_Cost_(SYNTHESIZED)'!E2:E11,"FTL")</f>
        <v>13655</v>
      </c>
      <c r="D13" s="20">
        <f>SUMIFS('Lane_Cost_(SYNTHESIZED)'!P2:P11,'Lane_Cost_(SYNTHESIZED)'!E2:E11,"FTL")</f>
        <v>11335</v>
      </c>
      <c r="E13" s="21">
        <f>IF(C13=0,0,(C13-D13)/C13)</f>
        <v>0.16990113511534236</v>
      </c>
    </row>
    <row r="14" spans="1:5" x14ac:dyDescent="0.45">
      <c r="A14" s="15" t="s">
        <v>36</v>
      </c>
      <c r="B14" s="19">
        <f>COUNTIF('Lane_Cost_(SYNTHESIZED)'!E2:E11,"LTL")</f>
        <v>2</v>
      </c>
      <c r="C14" s="20">
        <f>SUMIFS('Lane_Cost_(SYNTHESIZED)'!Q3:Q12,'Lane_Cost_(SYNTHESIZED)'!E3:E12,"LTL")</f>
        <v>1595</v>
      </c>
      <c r="D14" s="20">
        <f>SUMIFS('Lane_Cost_(SYNTHESIZED)'!P3:P12,'Lane_Cost_(SYNTHESIZED)'!E3:E12,"LTL")</f>
        <v>758</v>
      </c>
      <c r="E14" s="21">
        <f>IF(C14=0,0,(C14-D14)/C14)</f>
        <v>0.52476489028213169</v>
      </c>
    </row>
    <row r="15" spans="1:5" ht="28.5" x14ac:dyDescent="0.45">
      <c r="A15" s="15" t="s">
        <v>37</v>
      </c>
      <c r="B15" s="19" t="e">
        <f>COUNTIF([1]Lane_Cost_Model!E2:E1001,"Intermodal")</f>
        <v>#VALUE!</v>
      </c>
      <c r="C15" s="20">
        <f>SUMIFS('Lane_Cost_(SYNTHESIZED)'!Q4:Q13,'Lane_Cost_(SYNTHESIZED)'!E4:E13,"Intermodal")</f>
        <v>2160</v>
      </c>
      <c r="D15" s="20">
        <f>SUMIFS('Lane_Cost_(SYNTHESIZED)'!P4:P13,'Lane_Cost_(SYNTHESIZED)'!E4:E13,"Intermodal")</f>
        <v>1650</v>
      </c>
      <c r="E15" s="21">
        <f>IF(C15=0,0,(C15-D15)/C15)</f>
        <v>0.2361111111111111</v>
      </c>
    </row>
    <row r="16" spans="1:5" x14ac:dyDescent="0.45">
      <c r="A16" s="15" t="s">
        <v>50</v>
      </c>
      <c r="B16" s="19" t="e">
        <f>COUNTIF([1]Lane_Cost_Model!E2:E1001,"Parcel")</f>
        <v>#VALUE!</v>
      </c>
      <c r="C16" s="20">
        <f>SUMIFS('Lane_Cost_(SYNTHESIZED)'!Q5:Q14,'Lane_Cost_(SYNTHESIZED)'!E5:E14,"Parcel")</f>
        <v>0</v>
      </c>
      <c r="D16" s="20">
        <f>SUMIFS('Lane_Cost_(SYNTHESIZED)'!P5:P14,'Lane_Cost_(SYNTHESIZED)'!E5:E14,"Parcel")</f>
        <v>0</v>
      </c>
      <c r="E16" s="21">
        <f>IF(C16=0,0,(C16-D16)/C16)</f>
        <v>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Lane_Cost_(SYNTHESIZED)</vt:lpstr>
      <vt:lpstr>Summary(KPI)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Landfadt</dc:creator>
  <cp:lastModifiedBy>Hayden Landfadt</cp:lastModifiedBy>
  <cp:lastPrinted>2025-12-23T05:51:07Z</cp:lastPrinted>
  <dcterms:created xsi:type="dcterms:W3CDTF">2025-12-23T02:30:17Z</dcterms:created>
  <dcterms:modified xsi:type="dcterms:W3CDTF">2025-12-23T06:07:00Z</dcterms:modified>
</cp:coreProperties>
</file>